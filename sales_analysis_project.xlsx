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<sst xmlns="http://schemas.openxmlformats.org/spreadsheetml/2006/main" count="639" uniqueCount="190">
  <si>
    <t xml:space="preserve">Order ID</t>
  </si>
  <si>
    <t xml:space="preserve">Date</t>
  </si>
  <si>
    <t xml:space="preserve">Region</t>
  </si>
  <si>
    <t xml:space="preserve">Product</t>
  </si>
  <si>
    <t xml:space="preserve">Category</t>
  </si>
  <si>
    <t xml:space="preserve">Units Sold</t>
  </si>
  <si>
    <t xml:space="preserve">Unit Price</t>
  </si>
  <si>
    <t xml:space="preserve">Revenue</t>
  </si>
  <si>
    <t xml:space="preserve">ORD1000</t>
  </si>
  <si>
    <t xml:space="preserve">North</t>
  </si>
  <si>
    <t xml:space="preserve">Office Desk</t>
  </si>
  <si>
    <t xml:space="preserve">Furniture</t>
  </si>
  <si>
    <t xml:space="preserve">ORD1001</t>
  </si>
  <si>
    <t xml:space="preserve">Backpack</t>
  </si>
  <si>
    <t xml:space="preserve">Accessories</t>
  </si>
  <si>
    <t xml:space="preserve">ORD1002</t>
  </si>
  <si>
    <t xml:space="preserve">South</t>
  </si>
  <si>
    <t xml:space="preserve">Desk Chair</t>
  </si>
  <si>
    <t xml:space="preserve">ORD1003</t>
  </si>
  <si>
    <t xml:space="preserve">West</t>
  </si>
  <si>
    <t xml:space="preserve">ORD1004</t>
  </si>
  <si>
    <t xml:space="preserve">Pen Set</t>
  </si>
  <si>
    <t xml:space="preserve">Stationery</t>
  </si>
  <si>
    <t xml:space="preserve">ORD1005</t>
  </si>
  <si>
    <t xml:space="preserve">East</t>
  </si>
  <si>
    <t xml:space="preserve">Mouse</t>
  </si>
  <si>
    <t xml:space="preserve">Electronics</t>
  </si>
  <si>
    <t xml:space="preserve">ORD1006</t>
  </si>
  <si>
    <t xml:space="preserve">ORD1007</t>
  </si>
  <si>
    <t xml:space="preserve">ORD1008</t>
  </si>
  <si>
    <t xml:space="preserve">ORD1009</t>
  </si>
  <si>
    <t xml:space="preserve">ORD1010</t>
  </si>
  <si>
    <t xml:space="preserve">Keyboard</t>
  </si>
  <si>
    <t xml:space="preserve">ORD1011</t>
  </si>
  <si>
    <t xml:space="preserve">ORD1012</t>
  </si>
  <si>
    <t xml:space="preserve">Monitor</t>
  </si>
  <si>
    <t xml:space="preserve">ORD1013</t>
  </si>
  <si>
    <t xml:space="preserve">Laptop</t>
  </si>
  <si>
    <t xml:space="preserve">ORD1014</t>
  </si>
  <si>
    <t xml:space="preserve">ORD1015</t>
  </si>
  <si>
    <t xml:space="preserve">ORD1016</t>
  </si>
  <si>
    <t xml:space="preserve">ORD1017</t>
  </si>
  <si>
    <t xml:space="preserve">ORD1018</t>
  </si>
  <si>
    <t xml:space="preserve">ORD1019</t>
  </si>
  <si>
    <t xml:space="preserve">ORD1020</t>
  </si>
  <si>
    <t xml:space="preserve">Bookshelf</t>
  </si>
  <si>
    <t xml:space="preserve">ORD1021</t>
  </si>
  <si>
    <t xml:space="preserve">ORD1022</t>
  </si>
  <si>
    <t xml:space="preserve">ORD1023</t>
  </si>
  <si>
    <t xml:space="preserve">ORD1024</t>
  </si>
  <si>
    <t xml:space="preserve">ORD1025</t>
  </si>
  <si>
    <t xml:space="preserve">ORD1026</t>
  </si>
  <si>
    <t xml:space="preserve">ORD1027</t>
  </si>
  <si>
    <t xml:space="preserve">ORD1028</t>
  </si>
  <si>
    <t xml:space="preserve">ORD1029</t>
  </si>
  <si>
    <t xml:space="preserve">ORD1030</t>
  </si>
  <si>
    <t xml:space="preserve">ORD1031</t>
  </si>
  <si>
    <t xml:space="preserve">ORD1032</t>
  </si>
  <si>
    <t xml:space="preserve">ORD1033</t>
  </si>
  <si>
    <t xml:space="preserve">ORD1034</t>
  </si>
  <si>
    <t xml:space="preserve">ORD1035</t>
  </si>
  <si>
    <t xml:space="preserve">ORD1036</t>
  </si>
  <si>
    <t xml:space="preserve">ORD1037</t>
  </si>
  <si>
    <t xml:space="preserve">ORD1038</t>
  </si>
  <si>
    <t xml:space="preserve">ORD1039</t>
  </si>
  <si>
    <t xml:space="preserve">ORD1040</t>
  </si>
  <si>
    <t xml:space="preserve">ORD1041</t>
  </si>
  <si>
    <t xml:space="preserve">ORD1042</t>
  </si>
  <si>
    <t xml:space="preserve">ORD1043</t>
  </si>
  <si>
    <t xml:space="preserve">ORD1044</t>
  </si>
  <si>
    <t xml:space="preserve">ORD1045</t>
  </si>
  <si>
    <t xml:space="preserve">ORD1046</t>
  </si>
  <si>
    <t xml:space="preserve">Notebook</t>
  </si>
  <si>
    <t xml:space="preserve">ORD1047</t>
  </si>
  <si>
    <t xml:space="preserve">ORD1048</t>
  </si>
  <si>
    <t xml:space="preserve">ORD1049</t>
  </si>
  <si>
    <t xml:space="preserve">ORD1050</t>
  </si>
  <si>
    <t xml:space="preserve">ORD1051</t>
  </si>
  <si>
    <t xml:space="preserve">ORD1052</t>
  </si>
  <si>
    <t xml:space="preserve">ORD1053</t>
  </si>
  <si>
    <t xml:space="preserve">ORD1054</t>
  </si>
  <si>
    <t xml:space="preserve">ORD1055</t>
  </si>
  <si>
    <t xml:space="preserve">ORD1056</t>
  </si>
  <si>
    <t xml:space="preserve">ORD1057</t>
  </si>
  <si>
    <t xml:space="preserve">ORD1058</t>
  </si>
  <si>
    <t xml:space="preserve">ORD1059</t>
  </si>
  <si>
    <t xml:space="preserve">ORD1060</t>
  </si>
  <si>
    <t xml:space="preserve">ORD1061</t>
  </si>
  <si>
    <t xml:space="preserve">ORD1062</t>
  </si>
  <si>
    <t xml:space="preserve">ORD1063</t>
  </si>
  <si>
    <t xml:space="preserve">ORD1064</t>
  </si>
  <si>
    <t xml:space="preserve">ORD1065</t>
  </si>
  <si>
    <t xml:space="preserve">ORD1066</t>
  </si>
  <si>
    <t xml:space="preserve">ORD1067</t>
  </si>
  <si>
    <t xml:space="preserve">ORD1068</t>
  </si>
  <si>
    <t xml:space="preserve">ORD1069</t>
  </si>
  <si>
    <t xml:space="preserve">ORD1070</t>
  </si>
  <si>
    <t xml:space="preserve">ORD1071</t>
  </si>
  <si>
    <t xml:space="preserve">ORD1072</t>
  </si>
  <si>
    <t xml:space="preserve">ORD1073</t>
  </si>
  <si>
    <t xml:space="preserve">ORD1074</t>
  </si>
  <si>
    <t xml:space="preserve">ORD1075</t>
  </si>
  <si>
    <t xml:space="preserve">ORD1076</t>
  </si>
  <si>
    <t xml:space="preserve">ORD1077</t>
  </si>
  <si>
    <t xml:space="preserve">ORD1078</t>
  </si>
  <si>
    <t xml:space="preserve">ORD1079</t>
  </si>
  <si>
    <t xml:space="preserve">ORD1080</t>
  </si>
  <si>
    <t xml:space="preserve">ORD1081</t>
  </si>
  <si>
    <t xml:space="preserve">ORD1082</t>
  </si>
  <si>
    <t xml:space="preserve">ORD1083</t>
  </si>
  <si>
    <t xml:space="preserve">ORD1084</t>
  </si>
  <si>
    <t xml:space="preserve">ORD1085</t>
  </si>
  <si>
    <t xml:space="preserve">ORD1086</t>
  </si>
  <si>
    <t xml:space="preserve">ORD1087</t>
  </si>
  <si>
    <t xml:space="preserve">ORD1088</t>
  </si>
  <si>
    <t xml:space="preserve">ORD1089</t>
  </si>
  <si>
    <t xml:space="preserve">ORD1090</t>
  </si>
  <si>
    <t xml:space="preserve">ORD1091</t>
  </si>
  <si>
    <t xml:space="preserve">ORD1092</t>
  </si>
  <si>
    <t xml:space="preserve">ORD1093</t>
  </si>
  <si>
    <t xml:space="preserve">ORD1094</t>
  </si>
  <si>
    <t xml:space="preserve">ORD1095</t>
  </si>
  <si>
    <t xml:space="preserve">ORD1096</t>
  </si>
  <si>
    <t xml:space="preserve">ORD1097</t>
  </si>
  <si>
    <t xml:space="preserve">ORD1098</t>
  </si>
  <si>
    <t xml:space="preserve">ORD1099</t>
  </si>
  <si>
    <t xml:space="preserve">ORD1100</t>
  </si>
  <si>
    <t xml:space="preserve">ORD1101</t>
  </si>
  <si>
    <t xml:space="preserve">ORD1102</t>
  </si>
  <si>
    <t xml:space="preserve">ORD1103</t>
  </si>
  <si>
    <t xml:space="preserve">ORD1104</t>
  </si>
  <si>
    <t xml:space="preserve">ORD1105</t>
  </si>
  <si>
    <t xml:space="preserve">ORD1106</t>
  </si>
  <si>
    <t xml:space="preserve">ORD1107</t>
  </si>
  <si>
    <t xml:space="preserve">ORD1108</t>
  </si>
  <si>
    <t xml:space="preserve">ORD1109</t>
  </si>
  <si>
    <t xml:space="preserve">ORD1110</t>
  </si>
  <si>
    <t xml:space="preserve">ORD1111</t>
  </si>
  <si>
    <t xml:space="preserve">ORD1112</t>
  </si>
  <si>
    <t xml:space="preserve">ORD1113</t>
  </si>
  <si>
    <t xml:space="preserve">ORD1114</t>
  </si>
  <si>
    <t xml:space="preserve">ORD1115</t>
  </si>
  <si>
    <t xml:space="preserve">ORD1116</t>
  </si>
  <si>
    <t xml:space="preserve">ORD1117</t>
  </si>
  <si>
    <t xml:space="preserve">ORD1118</t>
  </si>
  <si>
    <t xml:space="preserve">ORD1119</t>
  </si>
  <si>
    <t xml:space="preserve">ORD1120</t>
  </si>
  <si>
    <t xml:space="preserve">ORD1121</t>
  </si>
  <si>
    <t xml:space="preserve">ORD1122</t>
  </si>
  <si>
    <t xml:space="preserve">ORD1123</t>
  </si>
  <si>
    <t xml:space="preserve">ORD1124</t>
  </si>
  <si>
    <t xml:space="preserve">ORD1125</t>
  </si>
  <si>
    <t xml:space="preserve">ORD1126</t>
  </si>
  <si>
    <t xml:space="preserve">ORD1127</t>
  </si>
  <si>
    <t xml:space="preserve">ORD1128</t>
  </si>
  <si>
    <t xml:space="preserve">ORD1129</t>
  </si>
  <si>
    <t xml:space="preserve">ORD1130</t>
  </si>
  <si>
    <t xml:space="preserve">ORD1131</t>
  </si>
  <si>
    <t xml:space="preserve">ORD1132</t>
  </si>
  <si>
    <t xml:space="preserve">ORD1133</t>
  </si>
  <si>
    <t xml:space="preserve">ORD1134</t>
  </si>
  <si>
    <t xml:space="preserve">ORD1135</t>
  </si>
  <si>
    <t xml:space="preserve">ORD1136</t>
  </si>
  <si>
    <t xml:space="preserve">ORD1137</t>
  </si>
  <si>
    <t xml:space="preserve">ORD1138</t>
  </si>
  <si>
    <t xml:space="preserve">ORD1139</t>
  </si>
  <si>
    <t xml:space="preserve">ORD1140</t>
  </si>
  <si>
    <t xml:space="preserve">ORD1141</t>
  </si>
  <si>
    <t xml:space="preserve">ORD1142</t>
  </si>
  <si>
    <t xml:space="preserve">ORD1143</t>
  </si>
  <si>
    <t xml:space="preserve">ORD1144</t>
  </si>
  <si>
    <t xml:space="preserve">ORD1145</t>
  </si>
  <si>
    <t xml:space="preserve">ORD1146</t>
  </si>
  <si>
    <t xml:space="preserve">ORD1147</t>
  </si>
  <si>
    <t xml:space="preserve">ORD1148</t>
  </si>
  <si>
    <t xml:space="preserve">ORD1149</t>
  </si>
  <si>
    <t xml:space="preserve">Sales Summary</t>
  </si>
  <si>
    <t xml:space="preserve">Auto-calculated from Raw Data using SUMIFS</t>
  </si>
  <si>
    <t xml:space="preserve">Revenue by Region</t>
  </si>
  <si>
    <t xml:space="preserve">Total Revenue</t>
  </si>
  <si>
    <t xml:space="preserve">Total Units</t>
  </si>
  <si>
    <t xml:space="preserve">Order Count</t>
  </si>
  <si>
    <t xml:space="preserve">Revenue by Category</t>
  </si>
  <si>
    <t xml:space="preserve">Key Metrics</t>
  </si>
  <si>
    <t xml:space="preserve">Total Units Sold</t>
  </si>
  <si>
    <t xml:space="preserve">Total Orders</t>
  </si>
  <si>
    <t xml:space="preserve">Average Order Value</t>
  </si>
  <si>
    <t xml:space="preserve">Sales Dashboard</t>
  </si>
  <si>
    <t xml:space="preserve">Visual overview of sales performance</t>
  </si>
  <si>
    <t xml:space="preserve">Avg Order Value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</si>
</sst>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.00"/>
    <numFmt numFmtId="167" formatCode="General"/>
    <numFmt numFmtId="168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CCCCC"/>
      <rgbColor rgb="FF878787"/>
      <rgbColor rgb="FF9999FF"/>
      <rgbColor rgb="FFC0504D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Summary!B5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Summary!$B$6:$B$9</c:f>
              <c:numCache>
                <c:formatCode>#,##0.00</c:formatCode>
                <c:ptCount val="4"/>
                <c:pt idx="0">
                  <c:v>1599556.95</c:v>
                </c:pt>
                <c:pt idx="1">
                  <c:v>5702022.79</c:v>
                </c:pt>
                <c:pt idx="2">
                  <c:v>3126806.92</c:v>
                </c:pt>
                <c:pt idx="3">
                  <c:v>3859715.59</c:v>
                </c:pt>
              </c:numCache>
            </c:numRef>
          </c:val>
        </c:ser>
        <c:gapWidth val="150"/>
        <c:overlap val="0"/>
        <c:axId val="7830929"/>
        <c:axId val="51479640"/>
      </c:barChart>
      <c:catAx>
        <c:axId val="78309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79640"/>
        <c:crosses val="autoZero"/>
        <c:auto val="1"/>
        <c:lblAlgn val="ctr"/>
        <c:lblOffset val="100"/>
        <c:noMultiLvlLbl val="0"/>
      </c:catAx>
      <c:valAx>
        <c:axId val="514796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309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Summary!B13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Summary!$A$14:$A$17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Summary!$B$14:$B$17</c:f>
              <c:numCache>
                <c:formatCode>#,##0.00</c:formatCode>
                <c:ptCount val="4"/>
                <c:pt idx="0">
                  <c:v>246700.38</c:v>
                </c:pt>
                <c:pt idx="1">
                  <c:v>10826431.03</c:v>
                </c:pt>
                <c:pt idx="2">
                  <c:v>3185910.96</c:v>
                </c:pt>
                <c:pt idx="3">
                  <c:v>29059.88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8</xdr:col>
      <xdr:colOff>398880</xdr:colOff>
      <xdr:row>19</xdr:row>
      <xdr:rowOff>12600</xdr:rowOff>
    </xdr:to>
    <xdr:graphicFrame>
      <xdr:nvGraphicFramePr>
        <xdr:cNvPr id="0" name="Chart 1"/>
        <xdr:cNvGraphicFramePr/>
      </xdr:nvGraphicFramePr>
      <xdr:xfrm>
        <a:off x="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</xdr:row>
      <xdr:rowOff>11520</xdr:rowOff>
    </xdr:from>
    <xdr:to>
      <xdr:col>8</xdr:col>
      <xdr:colOff>398880</xdr:colOff>
      <xdr:row>37</xdr:row>
      <xdr:rowOff>12600</xdr:rowOff>
    </xdr:to>
    <xdr:graphicFrame>
      <xdr:nvGraphicFramePr>
        <xdr:cNvPr id="1" name="Chart 2"/>
        <xdr:cNvGraphicFramePr/>
      </xdr:nvGraphicFramePr>
      <xdr:xfrm>
        <a:off x="0" y="4000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n">
        <v>45715</v>
      </c>
      <c r="C2" s="2" t="s">
        <v>9</v>
      </c>
      <c r="D2" s="2" t="s">
        <v>10</v>
      </c>
      <c r="E2" s="2" t="s">
        <v>11</v>
      </c>
      <c r="F2" s="2" t="n">
        <v>8</v>
      </c>
      <c r="G2" s="4" t="n">
        <v>7557.14</v>
      </c>
      <c r="H2" s="4" t="n">
        <f aca="false">F2*G2</f>
        <v>60457.12</v>
      </c>
    </row>
    <row r="3" customFormat="false" ht="15" hidden="false" customHeight="false" outlineLevel="0" collapsed="false">
      <c r="A3" s="2" t="s">
        <v>12</v>
      </c>
      <c r="B3" s="3" t="n">
        <v>45710</v>
      </c>
      <c r="C3" s="2" t="s">
        <v>9</v>
      </c>
      <c r="D3" s="2" t="s">
        <v>13</v>
      </c>
      <c r="E3" s="2" t="s">
        <v>14</v>
      </c>
      <c r="F3" s="2" t="n">
        <v>14</v>
      </c>
      <c r="G3" s="4" t="n">
        <v>1631.44</v>
      </c>
      <c r="H3" s="4" t="n">
        <f aca="false">F3*G3</f>
        <v>22840.16</v>
      </c>
    </row>
    <row r="4" customFormat="false" ht="15" hidden="false" customHeight="false" outlineLevel="0" collapsed="false">
      <c r="A4" s="2" t="s">
        <v>15</v>
      </c>
      <c r="B4" s="3" t="n">
        <v>45705</v>
      </c>
      <c r="C4" s="2" t="s">
        <v>16</v>
      </c>
      <c r="D4" s="2" t="s">
        <v>17</v>
      </c>
      <c r="E4" s="2" t="s">
        <v>11</v>
      </c>
      <c r="F4" s="2" t="n">
        <v>17</v>
      </c>
      <c r="G4" s="4" t="n">
        <v>4591.82</v>
      </c>
      <c r="H4" s="4" t="n">
        <f aca="false">F4*G4</f>
        <v>78060.94</v>
      </c>
    </row>
    <row r="5" customFormat="false" ht="15" hidden="false" customHeight="false" outlineLevel="0" collapsed="false">
      <c r="A5" s="2" t="s">
        <v>18</v>
      </c>
      <c r="B5" s="3" t="n">
        <v>45759</v>
      </c>
      <c r="C5" s="2" t="s">
        <v>19</v>
      </c>
      <c r="D5" s="2" t="s">
        <v>17</v>
      </c>
      <c r="E5" s="2" t="s">
        <v>11</v>
      </c>
      <c r="F5" s="2" t="n">
        <v>15</v>
      </c>
      <c r="G5" s="4" t="n">
        <v>4580.34</v>
      </c>
      <c r="H5" s="4" t="n">
        <f aca="false">F5*G5</f>
        <v>68705.1</v>
      </c>
    </row>
    <row r="6" customFormat="false" ht="15" hidden="false" customHeight="false" outlineLevel="0" collapsed="false">
      <c r="A6" s="2" t="s">
        <v>20</v>
      </c>
      <c r="B6" s="3" t="n">
        <v>45661</v>
      </c>
      <c r="C6" s="2" t="s">
        <v>16</v>
      </c>
      <c r="D6" s="2" t="s">
        <v>21</v>
      </c>
      <c r="E6" s="2" t="s">
        <v>22</v>
      </c>
      <c r="F6" s="2" t="n">
        <v>11</v>
      </c>
      <c r="G6" s="4" t="n">
        <v>143.34</v>
      </c>
      <c r="H6" s="4" t="n">
        <f aca="false">F6*G6</f>
        <v>1576.74</v>
      </c>
    </row>
    <row r="7" customFormat="false" ht="15" hidden="false" customHeight="false" outlineLevel="0" collapsed="false">
      <c r="A7" s="2" t="s">
        <v>23</v>
      </c>
      <c r="B7" s="3" t="n">
        <v>45768</v>
      </c>
      <c r="C7" s="2" t="s">
        <v>24</v>
      </c>
      <c r="D7" s="2" t="s">
        <v>25</v>
      </c>
      <c r="E7" s="2" t="s">
        <v>26</v>
      </c>
      <c r="F7" s="2" t="n">
        <v>3</v>
      </c>
      <c r="G7" s="4" t="n">
        <v>585.59</v>
      </c>
      <c r="H7" s="4" t="n">
        <f aca="false">F7*G7</f>
        <v>1756.77</v>
      </c>
    </row>
    <row r="8" customFormat="false" ht="15" hidden="false" customHeight="false" outlineLevel="0" collapsed="false">
      <c r="A8" s="2" t="s">
        <v>27</v>
      </c>
      <c r="B8" s="3" t="n">
        <v>45841</v>
      </c>
      <c r="C8" s="2" t="s">
        <v>24</v>
      </c>
      <c r="D8" s="2" t="s">
        <v>13</v>
      </c>
      <c r="E8" s="2" t="s">
        <v>14</v>
      </c>
      <c r="F8" s="2" t="n">
        <v>9</v>
      </c>
      <c r="G8" s="4" t="n">
        <v>1910.57</v>
      </c>
      <c r="H8" s="4" t="n">
        <f aca="false">F8*G8</f>
        <v>17195.13</v>
      </c>
    </row>
    <row r="9" customFormat="false" ht="15" hidden="false" customHeight="false" outlineLevel="0" collapsed="false">
      <c r="A9" s="2" t="s">
        <v>28</v>
      </c>
      <c r="B9" s="3" t="n">
        <v>45893</v>
      </c>
      <c r="C9" s="2" t="s">
        <v>9</v>
      </c>
      <c r="D9" s="2" t="s">
        <v>21</v>
      </c>
      <c r="E9" s="2" t="s">
        <v>22</v>
      </c>
      <c r="F9" s="2" t="n">
        <v>3</v>
      </c>
      <c r="G9" s="4" t="n">
        <v>151.56</v>
      </c>
      <c r="H9" s="4" t="n">
        <f aca="false">F9*G9</f>
        <v>454.68</v>
      </c>
    </row>
    <row r="10" customFormat="false" ht="15" hidden="false" customHeight="false" outlineLevel="0" collapsed="false">
      <c r="A10" s="2" t="s">
        <v>29</v>
      </c>
      <c r="B10" s="3" t="n">
        <v>45843</v>
      </c>
      <c r="C10" s="2" t="s">
        <v>16</v>
      </c>
      <c r="D10" s="2" t="s">
        <v>25</v>
      </c>
      <c r="E10" s="2" t="s">
        <v>26</v>
      </c>
      <c r="F10" s="2" t="n">
        <v>2</v>
      </c>
      <c r="G10" s="4" t="n">
        <v>619.35</v>
      </c>
      <c r="H10" s="4" t="n">
        <f aca="false">F10*G10</f>
        <v>1238.7</v>
      </c>
    </row>
    <row r="11" customFormat="false" ht="15" hidden="false" customHeight="false" outlineLevel="0" collapsed="false">
      <c r="A11" s="2" t="s">
        <v>30</v>
      </c>
      <c r="B11" s="3" t="n">
        <v>45806</v>
      </c>
      <c r="C11" s="2" t="s">
        <v>9</v>
      </c>
      <c r="D11" s="2" t="s">
        <v>17</v>
      </c>
      <c r="E11" s="2" t="s">
        <v>11</v>
      </c>
      <c r="F11" s="2" t="n">
        <v>4</v>
      </c>
      <c r="G11" s="4" t="n">
        <v>4392.11</v>
      </c>
      <c r="H11" s="4" t="n">
        <f aca="false">F11*G11</f>
        <v>17568.44</v>
      </c>
    </row>
    <row r="12" customFormat="false" ht="15" hidden="false" customHeight="false" outlineLevel="0" collapsed="false">
      <c r="A12" s="2" t="s">
        <v>31</v>
      </c>
      <c r="B12" s="3" t="n">
        <v>45890</v>
      </c>
      <c r="C12" s="2" t="s">
        <v>24</v>
      </c>
      <c r="D12" s="2" t="s">
        <v>32</v>
      </c>
      <c r="E12" s="2" t="s">
        <v>26</v>
      </c>
      <c r="F12" s="2" t="n">
        <v>12</v>
      </c>
      <c r="G12" s="4" t="n">
        <v>1165.26</v>
      </c>
      <c r="H12" s="4" t="n">
        <f aca="false">F12*G12</f>
        <v>13983.12</v>
      </c>
    </row>
    <row r="13" customFormat="false" ht="15" hidden="false" customHeight="false" outlineLevel="0" collapsed="false">
      <c r="A13" s="2" t="s">
        <v>33</v>
      </c>
      <c r="B13" s="3" t="n">
        <v>45794</v>
      </c>
      <c r="C13" s="2" t="s">
        <v>9</v>
      </c>
      <c r="D13" s="2" t="s">
        <v>13</v>
      </c>
      <c r="E13" s="2" t="s">
        <v>14</v>
      </c>
      <c r="F13" s="2" t="n">
        <v>6</v>
      </c>
      <c r="G13" s="4" t="n">
        <v>1812.29</v>
      </c>
      <c r="H13" s="4" t="n">
        <f aca="false">F13*G13</f>
        <v>10873.74</v>
      </c>
    </row>
    <row r="14" customFormat="false" ht="15" hidden="false" customHeight="false" outlineLevel="0" collapsed="false">
      <c r="A14" s="2" t="s">
        <v>34</v>
      </c>
      <c r="B14" s="3" t="n">
        <v>45783</v>
      </c>
      <c r="C14" s="2" t="s">
        <v>16</v>
      </c>
      <c r="D14" s="2" t="s">
        <v>35</v>
      </c>
      <c r="E14" s="2" t="s">
        <v>26</v>
      </c>
      <c r="F14" s="2" t="n">
        <v>13</v>
      </c>
      <c r="G14" s="4" t="n">
        <v>11447.87</v>
      </c>
      <c r="H14" s="4" t="n">
        <f aca="false">F14*G14</f>
        <v>148822.31</v>
      </c>
    </row>
    <row r="15" customFormat="false" ht="15" hidden="false" customHeight="false" outlineLevel="0" collapsed="false">
      <c r="A15" s="2" t="s">
        <v>36</v>
      </c>
      <c r="B15" s="3" t="n">
        <v>45770</v>
      </c>
      <c r="C15" s="2" t="s">
        <v>24</v>
      </c>
      <c r="D15" s="2" t="s">
        <v>37</v>
      </c>
      <c r="E15" s="2" t="s">
        <v>26</v>
      </c>
      <c r="F15" s="2" t="n">
        <v>8</v>
      </c>
      <c r="G15" s="4" t="n">
        <v>58539.83</v>
      </c>
      <c r="H15" s="4" t="n">
        <f aca="false">F15*G15</f>
        <v>468318.64</v>
      </c>
    </row>
    <row r="16" customFormat="false" ht="15" hidden="false" customHeight="false" outlineLevel="0" collapsed="false">
      <c r="A16" s="2" t="s">
        <v>38</v>
      </c>
      <c r="B16" s="3" t="n">
        <v>45819</v>
      </c>
      <c r="C16" s="2" t="s">
        <v>19</v>
      </c>
      <c r="D16" s="2" t="s">
        <v>10</v>
      </c>
      <c r="E16" s="2" t="s">
        <v>11</v>
      </c>
      <c r="F16" s="2" t="n">
        <v>3</v>
      </c>
      <c r="G16" s="4" t="n">
        <v>7537.57</v>
      </c>
      <c r="H16" s="4" t="n">
        <f aca="false">F16*G16</f>
        <v>22612.71</v>
      </c>
    </row>
    <row r="17" customFormat="false" ht="15" hidden="false" customHeight="false" outlineLevel="0" collapsed="false">
      <c r="A17" s="2" t="s">
        <v>39</v>
      </c>
      <c r="B17" s="3" t="n">
        <v>45819</v>
      </c>
      <c r="C17" s="2" t="s">
        <v>16</v>
      </c>
      <c r="D17" s="2" t="s">
        <v>35</v>
      </c>
      <c r="E17" s="2" t="s">
        <v>26</v>
      </c>
      <c r="F17" s="2" t="n">
        <v>13</v>
      </c>
      <c r="G17" s="4" t="n">
        <v>12923.24</v>
      </c>
      <c r="H17" s="4" t="n">
        <f aca="false">F17*G17</f>
        <v>168002.12</v>
      </c>
    </row>
    <row r="18" customFormat="false" ht="15" hidden="false" customHeight="false" outlineLevel="0" collapsed="false">
      <c r="A18" s="2" t="s">
        <v>40</v>
      </c>
      <c r="B18" s="3" t="n">
        <v>45892</v>
      </c>
      <c r="C18" s="2" t="s">
        <v>16</v>
      </c>
      <c r="D18" s="2" t="s">
        <v>10</v>
      </c>
      <c r="E18" s="2" t="s">
        <v>11</v>
      </c>
      <c r="F18" s="2" t="n">
        <v>5</v>
      </c>
      <c r="G18" s="4" t="n">
        <v>7594.6</v>
      </c>
      <c r="H18" s="4" t="n">
        <f aca="false">F18*G18</f>
        <v>37973</v>
      </c>
    </row>
    <row r="19" customFormat="false" ht="15" hidden="false" customHeight="false" outlineLevel="0" collapsed="false">
      <c r="A19" s="2" t="s">
        <v>41</v>
      </c>
      <c r="B19" s="3" t="n">
        <v>45792</v>
      </c>
      <c r="C19" s="2" t="s">
        <v>19</v>
      </c>
      <c r="D19" s="2" t="s">
        <v>13</v>
      </c>
      <c r="E19" s="2" t="s">
        <v>14</v>
      </c>
      <c r="F19" s="2" t="n">
        <v>13</v>
      </c>
      <c r="G19" s="4" t="n">
        <v>1750.32</v>
      </c>
      <c r="H19" s="4" t="n">
        <f aca="false">F19*G19</f>
        <v>22754.16</v>
      </c>
    </row>
    <row r="20" customFormat="false" ht="15" hidden="false" customHeight="false" outlineLevel="0" collapsed="false">
      <c r="A20" s="2" t="s">
        <v>42</v>
      </c>
      <c r="B20" s="3" t="n">
        <v>45728</v>
      </c>
      <c r="C20" s="2" t="s">
        <v>19</v>
      </c>
      <c r="D20" s="2" t="s">
        <v>25</v>
      </c>
      <c r="E20" s="2" t="s">
        <v>26</v>
      </c>
      <c r="F20" s="2" t="n">
        <v>2</v>
      </c>
      <c r="G20" s="4" t="n">
        <v>643.33</v>
      </c>
      <c r="H20" s="4" t="n">
        <f aca="false">F20*G20</f>
        <v>1286.66</v>
      </c>
    </row>
    <row r="21" customFormat="false" ht="15" hidden="false" customHeight="false" outlineLevel="0" collapsed="false">
      <c r="A21" s="2" t="s">
        <v>43</v>
      </c>
      <c r="B21" s="3" t="n">
        <v>45736</v>
      </c>
      <c r="C21" s="2" t="s">
        <v>16</v>
      </c>
      <c r="D21" s="2" t="s">
        <v>21</v>
      </c>
      <c r="E21" s="2" t="s">
        <v>22</v>
      </c>
      <c r="F21" s="2" t="n">
        <v>20</v>
      </c>
      <c r="G21" s="4" t="n">
        <v>136.91</v>
      </c>
      <c r="H21" s="4" t="n">
        <f aca="false">F21*G21</f>
        <v>2738.2</v>
      </c>
    </row>
    <row r="22" customFormat="false" ht="15" hidden="false" customHeight="false" outlineLevel="0" collapsed="false">
      <c r="A22" s="2" t="s">
        <v>44</v>
      </c>
      <c r="B22" s="3" t="n">
        <v>45853</v>
      </c>
      <c r="C22" s="2" t="s">
        <v>19</v>
      </c>
      <c r="D22" s="2" t="s">
        <v>45</v>
      </c>
      <c r="E22" s="2" t="s">
        <v>11</v>
      </c>
      <c r="F22" s="2" t="n">
        <v>9</v>
      </c>
      <c r="G22" s="4" t="n">
        <v>3829.75</v>
      </c>
      <c r="H22" s="4" t="n">
        <f aca="false">F22*G22</f>
        <v>34467.75</v>
      </c>
    </row>
    <row r="23" customFormat="false" ht="15" hidden="false" customHeight="false" outlineLevel="0" collapsed="false">
      <c r="A23" s="2" t="s">
        <v>46</v>
      </c>
      <c r="B23" s="3" t="n">
        <v>45663</v>
      </c>
      <c r="C23" s="2" t="s">
        <v>9</v>
      </c>
      <c r="D23" s="2" t="s">
        <v>45</v>
      </c>
      <c r="E23" s="2" t="s">
        <v>11</v>
      </c>
      <c r="F23" s="2" t="n">
        <v>9</v>
      </c>
      <c r="G23" s="4" t="n">
        <v>3688.02</v>
      </c>
      <c r="H23" s="4" t="n">
        <f aca="false">F23*G23</f>
        <v>33192.18</v>
      </c>
    </row>
    <row r="24" customFormat="false" ht="15" hidden="false" customHeight="false" outlineLevel="0" collapsed="false">
      <c r="A24" s="2" t="s">
        <v>47</v>
      </c>
      <c r="B24" s="3" t="n">
        <v>45832</v>
      </c>
      <c r="C24" s="2" t="s">
        <v>9</v>
      </c>
      <c r="D24" s="2" t="s">
        <v>10</v>
      </c>
      <c r="E24" s="2" t="s">
        <v>11</v>
      </c>
      <c r="F24" s="2" t="n">
        <v>14</v>
      </c>
      <c r="G24" s="4" t="n">
        <v>7453.05</v>
      </c>
      <c r="H24" s="4" t="n">
        <f aca="false">F24*G24</f>
        <v>104342.7</v>
      </c>
    </row>
    <row r="25" customFormat="false" ht="15" hidden="false" customHeight="false" outlineLevel="0" collapsed="false">
      <c r="A25" s="2" t="s">
        <v>48</v>
      </c>
      <c r="B25" s="3" t="n">
        <v>45659</v>
      </c>
      <c r="C25" s="2" t="s">
        <v>24</v>
      </c>
      <c r="D25" s="2" t="s">
        <v>45</v>
      </c>
      <c r="E25" s="2" t="s">
        <v>11</v>
      </c>
      <c r="F25" s="2" t="n">
        <v>6</v>
      </c>
      <c r="G25" s="4" t="n">
        <v>3505.38</v>
      </c>
      <c r="H25" s="4" t="n">
        <f aca="false">F25*G25</f>
        <v>21032.28</v>
      </c>
    </row>
    <row r="26" customFormat="false" ht="15" hidden="false" customHeight="false" outlineLevel="0" collapsed="false">
      <c r="A26" s="2" t="s">
        <v>49</v>
      </c>
      <c r="B26" s="3" t="n">
        <v>45712</v>
      </c>
      <c r="C26" s="2" t="s">
        <v>24</v>
      </c>
      <c r="D26" s="2" t="s">
        <v>45</v>
      </c>
      <c r="E26" s="2" t="s">
        <v>11</v>
      </c>
      <c r="F26" s="2" t="n">
        <v>20</v>
      </c>
      <c r="G26" s="4" t="n">
        <v>3289.24</v>
      </c>
      <c r="H26" s="4" t="n">
        <f aca="false">F26*G26</f>
        <v>65784.8</v>
      </c>
    </row>
    <row r="27" customFormat="false" ht="15" hidden="false" customHeight="false" outlineLevel="0" collapsed="false">
      <c r="A27" s="2" t="s">
        <v>50</v>
      </c>
      <c r="B27" s="3" t="n">
        <v>45849</v>
      </c>
      <c r="C27" s="2" t="s">
        <v>16</v>
      </c>
      <c r="D27" s="2" t="s">
        <v>45</v>
      </c>
      <c r="E27" s="2" t="s">
        <v>11</v>
      </c>
      <c r="F27" s="2" t="n">
        <v>17</v>
      </c>
      <c r="G27" s="4" t="n">
        <v>3792.95</v>
      </c>
      <c r="H27" s="4" t="n">
        <f aca="false">F27*G27</f>
        <v>64480.15</v>
      </c>
    </row>
    <row r="28" customFormat="false" ht="15" hidden="false" customHeight="false" outlineLevel="0" collapsed="false">
      <c r="A28" s="2" t="s">
        <v>51</v>
      </c>
      <c r="B28" s="3" t="n">
        <v>45823</v>
      </c>
      <c r="C28" s="2" t="s">
        <v>19</v>
      </c>
      <c r="D28" s="2" t="s">
        <v>37</v>
      </c>
      <c r="E28" s="2" t="s">
        <v>26</v>
      </c>
      <c r="F28" s="2" t="n">
        <v>4</v>
      </c>
      <c r="G28" s="4" t="n">
        <v>59720.08</v>
      </c>
      <c r="H28" s="4" t="n">
        <f aca="false">F28*G28</f>
        <v>238880.32</v>
      </c>
    </row>
    <row r="29" customFormat="false" ht="15" hidden="false" customHeight="false" outlineLevel="0" collapsed="false">
      <c r="A29" s="2" t="s">
        <v>52</v>
      </c>
      <c r="B29" s="3" t="n">
        <v>45815</v>
      </c>
      <c r="C29" s="2" t="s">
        <v>16</v>
      </c>
      <c r="D29" s="2" t="s">
        <v>37</v>
      </c>
      <c r="E29" s="2" t="s">
        <v>26</v>
      </c>
      <c r="F29" s="2" t="n">
        <v>8</v>
      </c>
      <c r="G29" s="4" t="n">
        <v>59158.11</v>
      </c>
      <c r="H29" s="4" t="n">
        <f aca="false">F29*G29</f>
        <v>473264.88</v>
      </c>
    </row>
    <row r="30" customFormat="false" ht="15" hidden="false" customHeight="false" outlineLevel="0" collapsed="false">
      <c r="A30" s="2" t="s">
        <v>53</v>
      </c>
      <c r="B30" s="3" t="n">
        <v>45698</v>
      </c>
      <c r="C30" s="2" t="s">
        <v>9</v>
      </c>
      <c r="D30" s="2" t="s">
        <v>35</v>
      </c>
      <c r="E30" s="2" t="s">
        <v>26</v>
      </c>
      <c r="F30" s="2" t="n">
        <v>3</v>
      </c>
      <c r="G30" s="4" t="n">
        <v>13147.16</v>
      </c>
      <c r="H30" s="4" t="n">
        <f aca="false">F30*G30</f>
        <v>39441.48</v>
      </c>
    </row>
    <row r="31" customFormat="false" ht="15" hidden="false" customHeight="false" outlineLevel="0" collapsed="false">
      <c r="A31" s="2" t="s">
        <v>54</v>
      </c>
      <c r="B31" s="3" t="n">
        <v>45722</v>
      </c>
      <c r="C31" s="2" t="s">
        <v>16</v>
      </c>
      <c r="D31" s="2" t="s">
        <v>35</v>
      </c>
      <c r="E31" s="2" t="s">
        <v>26</v>
      </c>
      <c r="F31" s="2" t="n">
        <v>18</v>
      </c>
      <c r="G31" s="4" t="n">
        <v>11196.3</v>
      </c>
      <c r="H31" s="4" t="n">
        <f aca="false">F31*G31</f>
        <v>201533.4</v>
      </c>
    </row>
    <row r="32" customFormat="false" ht="15" hidden="false" customHeight="false" outlineLevel="0" collapsed="false">
      <c r="A32" s="2" t="s">
        <v>55</v>
      </c>
      <c r="B32" s="3" t="n">
        <v>45874</v>
      </c>
      <c r="C32" s="2" t="s">
        <v>16</v>
      </c>
      <c r="D32" s="2" t="s">
        <v>45</v>
      </c>
      <c r="E32" s="2" t="s">
        <v>11</v>
      </c>
      <c r="F32" s="2" t="n">
        <v>7</v>
      </c>
      <c r="G32" s="4" t="n">
        <v>3649.06</v>
      </c>
      <c r="H32" s="4" t="n">
        <f aca="false">F32*G32</f>
        <v>25543.42</v>
      </c>
    </row>
    <row r="33" customFormat="false" ht="15" hidden="false" customHeight="false" outlineLevel="0" collapsed="false">
      <c r="A33" s="2" t="s">
        <v>56</v>
      </c>
      <c r="B33" s="3" t="n">
        <v>45862</v>
      </c>
      <c r="C33" s="2" t="s">
        <v>24</v>
      </c>
      <c r="D33" s="2" t="s">
        <v>35</v>
      </c>
      <c r="E33" s="2" t="s">
        <v>26</v>
      </c>
      <c r="F33" s="2" t="n">
        <v>17</v>
      </c>
      <c r="G33" s="4" t="n">
        <v>11883.57</v>
      </c>
      <c r="H33" s="4" t="n">
        <f aca="false">F33*G33</f>
        <v>202020.69</v>
      </c>
    </row>
    <row r="34" customFormat="false" ht="15" hidden="false" customHeight="false" outlineLevel="0" collapsed="false">
      <c r="A34" s="2" t="s">
        <v>57</v>
      </c>
      <c r="B34" s="3" t="n">
        <v>45784</v>
      </c>
      <c r="C34" s="2" t="s">
        <v>16</v>
      </c>
      <c r="D34" s="2" t="s">
        <v>25</v>
      </c>
      <c r="E34" s="2" t="s">
        <v>26</v>
      </c>
      <c r="F34" s="2" t="n">
        <v>11</v>
      </c>
      <c r="G34" s="4" t="n">
        <v>542.52</v>
      </c>
      <c r="H34" s="4" t="n">
        <f aca="false">F34*G34</f>
        <v>5967.72</v>
      </c>
    </row>
    <row r="35" customFormat="false" ht="15" hidden="false" customHeight="false" outlineLevel="0" collapsed="false">
      <c r="A35" s="2" t="s">
        <v>58</v>
      </c>
      <c r="B35" s="3" t="n">
        <v>45775</v>
      </c>
      <c r="C35" s="2" t="s">
        <v>16</v>
      </c>
      <c r="D35" s="2" t="s">
        <v>37</v>
      </c>
      <c r="E35" s="2" t="s">
        <v>26</v>
      </c>
      <c r="F35" s="2" t="n">
        <v>3</v>
      </c>
      <c r="G35" s="4" t="n">
        <v>57286.25</v>
      </c>
      <c r="H35" s="4" t="n">
        <f aca="false">F35*G35</f>
        <v>171858.75</v>
      </c>
    </row>
    <row r="36" customFormat="false" ht="15" hidden="false" customHeight="false" outlineLevel="0" collapsed="false">
      <c r="A36" s="2" t="s">
        <v>59</v>
      </c>
      <c r="B36" s="3" t="n">
        <v>45688</v>
      </c>
      <c r="C36" s="2" t="s">
        <v>16</v>
      </c>
      <c r="D36" s="2" t="s">
        <v>25</v>
      </c>
      <c r="E36" s="2" t="s">
        <v>26</v>
      </c>
      <c r="F36" s="2" t="n">
        <v>2</v>
      </c>
      <c r="G36" s="4" t="n">
        <v>643.16</v>
      </c>
      <c r="H36" s="4" t="n">
        <f aca="false">F36*G36</f>
        <v>1286.32</v>
      </c>
    </row>
    <row r="37" customFormat="false" ht="15" hidden="false" customHeight="false" outlineLevel="0" collapsed="false">
      <c r="A37" s="2" t="s">
        <v>60</v>
      </c>
      <c r="B37" s="3" t="n">
        <v>45694</v>
      </c>
      <c r="C37" s="2" t="s">
        <v>16</v>
      </c>
      <c r="D37" s="2" t="s">
        <v>10</v>
      </c>
      <c r="E37" s="2" t="s">
        <v>11</v>
      </c>
      <c r="F37" s="2" t="n">
        <v>16</v>
      </c>
      <c r="G37" s="4" t="n">
        <v>7542.78</v>
      </c>
      <c r="H37" s="4" t="n">
        <f aca="false">F37*G37</f>
        <v>120684.48</v>
      </c>
    </row>
    <row r="38" customFormat="false" ht="15" hidden="false" customHeight="false" outlineLevel="0" collapsed="false">
      <c r="A38" s="2" t="s">
        <v>61</v>
      </c>
      <c r="B38" s="3" t="n">
        <v>45725</v>
      </c>
      <c r="C38" s="2" t="s">
        <v>19</v>
      </c>
      <c r="D38" s="2" t="s">
        <v>17</v>
      </c>
      <c r="E38" s="2" t="s">
        <v>11</v>
      </c>
      <c r="F38" s="2" t="n">
        <v>16</v>
      </c>
      <c r="G38" s="4" t="n">
        <v>4776.75</v>
      </c>
      <c r="H38" s="4" t="n">
        <f aca="false">F38*G38</f>
        <v>76428</v>
      </c>
    </row>
    <row r="39" customFormat="false" ht="15" hidden="false" customHeight="false" outlineLevel="0" collapsed="false">
      <c r="A39" s="2" t="s">
        <v>62</v>
      </c>
      <c r="B39" s="3" t="n">
        <v>45755</v>
      </c>
      <c r="C39" s="2" t="s">
        <v>9</v>
      </c>
      <c r="D39" s="2" t="s">
        <v>25</v>
      </c>
      <c r="E39" s="2" t="s">
        <v>26</v>
      </c>
      <c r="F39" s="2" t="n">
        <v>14</v>
      </c>
      <c r="G39" s="4" t="n">
        <v>582.52</v>
      </c>
      <c r="H39" s="4" t="n">
        <f aca="false">F39*G39</f>
        <v>8155.28</v>
      </c>
    </row>
    <row r="40" customFormat="false" ht="15" hidden="false" customHeight="false" outlineLevel="0" collapsed="false">
      <c r="A40" s="2" t="s">
        <v>63</v>
      </c>
      <c r="B40" s="3" t="n">
        <v>45868</v>
      </c>
      <c r="C40" s="2" t="s">
        <v>19</v>
      </c>
      <c r="D40" s="2" t="s">
        <v>37</v>
      </c>
      <c r="E40" s="2" t="s">
        <v>26</v>
      </c>
      <c r="F40" s="2" t="n">
        <v>4</v>
      </c>
      <c r="G40" s="4" t="n">
        <v>50166.74</v>
      </c>
      <c r="H40" s="4" t="n">
        <f aca="false">F40*G40</f>
        <v>200666.96</v>
      </c>
    </row>
    <row r="41" customFormat="false" ht="15" hidden="false" customHeight="false" outlineLevel="0" collapsed="false">
      <c r="A41" s="2" t="s">
        <v>64</v>
      </c>
      <c r="B41" s="3" t="n">
        <v>45831</v>
      </c>
      <c r="C41" s="2" t="s">
        <v>9</v>
      </c>
      <c r="D41" s="2" t="s">
        <v>17</v>
      </c>
      <c r="E41" s="2" t="s">
        <v>11</v>
      </c>
      <c r="F41" s="2" t="n">
        <v>7</v>
      </c>
      <c r="G41" s="4" t="n">
        <v>4221.19</v>
      </c>
      <c r="H41" s="4" t="n">
        <f aca="false">F41*G41</f>
        <v>29548.33</v>
      </c>
    </row>
    <row r="42" customFormat="false" ht="15" hidden="false" customHeight="false" outlineLevel="0" collapsed="false">
      <c r="A42" s="2" t="s">
        <v>65</v>
      </c>
      <c r="B42" s="3" t="n">
        <v>45887</v>
      </c>
      <c r="C42" s="2" t="s">
        <v>16</v>
      </c>
      <c r="D42" s="2" t="s">
        <v>21</v>
      </c>
      <c r="E42" s="2" t="s">
        <v>22</v>
      </c>
      <c r="F42" s="2" t="n">
        <v>6</v>
      </c>
      <c r="G42" s="4" t="n">
        <v>143.36</v>
      </c>
      <c r="H42" s="4" t="n">
        <f aca="false">F42*G42</f>
        <v>860.16</v>
      </c>
    </row>
    <row r="43" customFormat="false" ht="15" hidden="false" customHeight="false" outlineLevel="0" collapsed="false">
      <c r="A43" s="2" t="s">
        <v>66</v>
      </c>
      <c r="B43" s="3" t="n">
        <v>45785</v>
      </c>
      <c r="C43" s="2" t="s">
        <v>9</v>
      </c>
      <c r="D43" s="2" t="s">
        <v>35</v>
      </c>
      <c r="E43" s="2" t="s">
        <v>26</v>
      </c>
      <c r="F43" s="2" t="n">
        <v>18</v>
      </c>
      <c r="G43" s="4" t="n">
        <v>11034.98</v>
      </c>
      <c r="H43" s="4" t="n">
        <f aca="false">F43*G43</f>
        <v>198629.64</v>
      </c>
    </row>
    <row r="44" customFormat="false" ht="15" hidden="false" customHeight="false" outlineLevel="0" collapsed="false">
      <c r="A44" s="2" t="s">
        <v>67</v>
      </c>
      <c r="B44" s="3" t="n">
        <v>45665</v>
      </c>
      <c r="C44" s="2" t="s">
        <v>9</v>
      </c>
      <c r="D44" s="2" t="s">
        <v>17</v>
      </c>
      <c r="E44" s="2" t="s">
        <v>11</v>
      </c>
      <c r="F44" s="2" t="n">
        <v>6</v>
      </c>
      <c r="G44" s="4" t="n">
        <v>4415.77</v>
      </c>
      <c r="H44" s="4" t="n">
        <f aca="false">F44*G44</f>
        <v>26494.62</v>
      </c>
    </row>
    <row r="45" customFormat="false" ht="15" hidden="false" customHeight="false" outlineLevel="0" collapsed="false">
      <c r="A45" s="2" t="s">
        <v>68</v>
      </c>
      <c r="B45" s="3" t="n">
        <v>45904</v>
      </c>
      <c r="C45" s="2" t="s">
        <v>16</v>
      </c>
      <c r="D45" s="2" t="s">
        <v>21</v>
      </c>
      <c r="E45" s="2" t="s">
        <v>22</v>
      </c>
      <c r="F45" s="2" t="n">
        <v>2</v>
      </c>
      <c r="G45" s="4" t="n">
        <v>139.94</v>
      </c>
      <c r="H45" s="4" t="n">
        <f aca="false">F45*G45</f>
        <v>279.88</v>
      </c>
    </row>
    <row r="46" customFormat="false" ht="15" hidden="false" customHeight="false" outlineLevel="0" collapsed="false">
      <c r="A46" s="2" t="s">
        <v>69</v>
      </c>
      <c r="B46" s="3" t="n">
        <v>45659</v>
      </c>
      <c r="C46" s="2" t="s">
        <v>19</v>
      </c>
      <c r="D46" s="2" t="s">
        <v>10</v>
      </c>
      <c r="E46" s="2" t="s">
        <v>11</v>
      </c>
      <c r="F46" s="2" t="n">
        <v>15</v>
      </c>
      <c r="G46" s="4" t="n">
        <v>7656.4</v>
      </c>
      <c r="H46" s="4" t="n">
        <f aca="false">F46*G46</f>
        <v>114846</v>
      </c>
    </row>
    <row r="47" customFormat="false" ht="15" hidden="false" customHeight="false" outlineLevel="0" collapsed="false">
      <c r="A47" s="2" t="s">
        <v>70</v>
      </c>
      <c r="B47" s="3" t="n">
        <v>45907</v>
      </c>
      <c r="C47" s="2" t="s">
        <v>16</v>
      </c>
      <c r="D47" s="2" t="s">
        <v>17</v>
      </c>
      <c r="E47" s="2" t="s">
        <v>11</v>
      </c>
      <c r="F47" s="2" t="n">
        <v>10</v>
      </c>
      <c r="G47" s="4" t="n">
        <v>4245.93</v>
      </c>
      <c r="H47" s="4" t="n">
        <f aca="false">F47*G47</f>
        <v>42459.3</v>
      </c>
    </row>
    <row r="48" customFormat="false" ht="15" hidden="false" customHeight="false" outlineLevel="0" collapsed="false">
      <c r="A48" s="2" t="s">
        <v>71</v>
      </c>
      <c r="B48" s="3" t="n">
        <v>45687</v>
      </c>
      <c r="C48" s="2" t="s">
        <v>9</v>
      </c>
      <c r="D48" s="2" t="s">
        <v>72</v>
      </c>
      <c r="E48" s="2" t="s">
        <v>22</v>
      </c>
      <c r="F48" s="2" t="n">
        <v>2</v>
      </c>
      <c r="G48" s="4" t="n">
        <v>45.5</v>
      </c>
      <c r="H48" s="4" t="n">
        <f aca="false">F48*G48</f>
        <v>91</v>
      </c>
    </row>
    <row r="49" customFormat="false" ht="15" hidden="false" customHeight="false" outlineLevel="0" collapsed="false">
      <c r="A49" s="2" t="s">
        <v>73</v>
      </c>
      <c r="B49" s="3" t="n">
        <v>45902</v>
      </c>
      <c r="C49" s="2" t="s">
        <v>16</v>
      </c>
      <c r="D49" s="2" t="s">
        <v>37</v>
      </c>
      <c r="E49" s="2" t="s">
        <v>26</v>
      </c>
      <c r="F49" s="2" t="n">
        <v>17</v>
      </c>
      <c r="G49" s="4" t="n">
        <v>50381.23</v>
      </c>
      <c r="H49" s="4" t="n">
        <f aca="false">F49*G49</f>
        <v>856480.91</v>
      </c>
    </row>
    <row r="50" customFormat="false" ht="15" hidden="false" customHeight="false" outlineLevel="0" collapsed="false">
      <c r="A50" s="2" t="s">
        <v>74</v>
      </c>
      <c r="B50" s="3" t="n">
        <v>45753</v>
      </c>
      <c r="C50" s="2" t="s">
        <v>9</v>
      </c>
      <c r="D50" s="2" t="s">
        <v>13</v>
      </c>
      <c r="E50" s="2" t="s">
        <v>14</v>
      </c>
      <c r="F50" s="2" t="n">
        <v>3</v>
      </c>
      <c r="G50" s="4" t="n">
        <v>1863.08</v>
      </c>
      <c r="H50" s="4" t="n">
        <f aca="false">F50*G50</f>
        <v>5589.24</v>
      </c>
    </row>
    <row r="51" customFormat="false" ht="15" hidden="false" customHeight="false" outlineLevel="0" collapsed="false">
      <c r="A51" s="2" t="s">
        <v>75</v>
      </c>
      <c r="B51" s="3" t="n">
        <v>45778</v>
      </c>
      <c r="C51" s="2" t="s">
        <v>19</v>
      </c>
      <c r="D51" s="2" t="s">
        <v>25</v>
      </c>
      <c r="E51" s="2" t="s">
        <v>26</v>
      </c>
      <c r="F51" s="2" t="n">
        <v>19</v>
      </c>
      <c r="G51" s="4" t="n">
        <v>569.55</v>
      </c>
      <c r="H51" s="4" t="n">
        <f aca="false">F51*G51</f>
        <v>10821.45</v>
      </c>
    </row>
    <row r="52" customFormat="false" ht="15" hidden="false" customHeight="false" outlineLevel="0" collapsed="false">
      <c r="A52" s="2" t="s">
        <v>76</v>
      </c>
      <c r="B52" s="3" t="n">
        <v>45678</v>
      </c>
      <c r="C52" s="2" t="s">
        <v>9</v>
      </c>
      <c r="D52" s="2" t="s">
        <v>21</v>
      </c>
      <c r="E52" s="2" t="s">
        <v>22</v>
      </c>
      <c r="F52" s="2" t="n">
        <v>19</v>
      </c>
      <c r="G52" s="4" t="n">
        <v>151.96</v>
      </c>
      <c r="H52" s="4" t="n">
        <f aca="false">F52*G52</f>
        <v>2887.24</v>
      </c>
    </row>
    <row r="53" customFormat="false" ht="15" hidden="false" customHeight="false" outlineLevel="0" collapsed="false">
      <c r="A53" s="2" t="s">
        <v>77</v>
      </c>
      <c r="B53" s="3" t="n">
        <v>45819</v>
      </c>
      <c r="C53" s="2" t="s">
        <v>24</v>
      </c>
      <c r="D53" s="2" t="s">
        <v>17</v>
      </c>
      <c r="E53" s="2" t="s">
        <v>11</v>
      </c>
      <c r="F53" s="2" t="n">
        <v>11</v>
      </c>
      <c r="G53" s="4" t="n">
        <v>4264.82</v>
      </c>
      <c r="H53" s="4" t="n">
        <f aca="false">F53*G53</f>
        <v>46913.02</v>
      </c>
    </row>
    <row r="54" customFormat="false" ht="15" hidden="false" customHeight="false" outlineLevel="0" collapsed="false">
      <c r="A54" s="2" t="s">
        <v>78</v>
      </c>
      <c r="B54" s="3" t="n">
        <v>45860</v>
      </c>
      <c r="C54" s="2" t="s">
        <v>16</v>
      </c>
      <c r="D54" s="2" t="s">
        <v>10</v>
      </c>
      <c r="E54" s="2" t="s">
        <v>11</v>
      </c>
      <c r="F54" s="2" t="n">
        <v>15</v>
      </c>
      <c r="G54" s="4" t="n">
        <v>7705.88</v>
      </c>
      <c r="H54" s="4" t="n">
        <f aca="false">F54*G54</f>
        <v>115588.2</v>
      </c>
    </row>
    <row r="55" customFormat="false" ht="15" hidden="false" customHeight="false" outlineLevel="0" collapsed="false">
      <c r="A55" s="2" t="s">
        <v>79</v>
      </c>
      <c r="B55" s="3" t="n">
        <v>45695</v>
      </c>
      <c r="C55" s="2" t="s">
        <v>9</v>
      </c>
      <c r="D55" s="2" t="s">
        <v>35</v>
      </c>
      <c r="E55" s="2" t="s">
        <v>26</v>
      </c>
      <c r="F55" s="2" t="n">
        <v>20</v>
      </c>
      <c r="G55" s="4" t="n">
        <v>13196.29</v>
      </c>
      <c r="H55" s="4" t="n">
        <f aca="false">F55*G55</f>
        <v>263925.8</v>
      </c>
    </row>
    <row r="56" customFormat="false" ht="15" hidden="false" customHeight="false" outlineLevel="0" collapsed="false">
      <c r="A56" s="2" t="s">
        <v>80</v>
      </c>
      <c r="B56" s="3" t="n">
        <v>45709</v>
      </c>
      <c r="C56" s="2" t="s">
        <v>9</v>
      </c>
      <c r="D56" s="2" t="s">
        <v>45</v>
      </c>
      <c r="E56" s="2" t="s">
        <v>11</v>
      </c>
      <c r="F56" s="2" t="n">
        <v>7</v>
      </c>
      <c r="G56" s="4" t="n">
        <v>3504.12</v>
      </c>
      <c r="H56" s="4" t="n">
        <f aca="false">F56*G56</f>
        <v>24528.84</v>
      </c>
    </row>
    <row r="57" customFormat="false" ht="15" hidden="false" customHeight="false" outlineLevel="0" collapsed="false">
      <c r="A57" s="2" t="s">
        <v>81</v>
      </c>
      <c r="B57" s="3" t="n">
        <v>45725</v>
      </c>
      <c r="C57" s="2" t="s">
        <v>24</v>
      </c>
      <c r="D57" s="2" t="s">
        <v>25</v>
      </c>
      <c r="E57" s="2" t="s">
        <v>26</v>
      </c>
      <c r="F57" s="2" t="n">
        <v>8</v>
      </c>
      <c r="G57" s="4" t="n">
        <v>584.34</v>
      </c>
      <c r="H57" s="4" t="n">
        <f aca="false">F57*G57</f>
        <v>4674.72</v>
      </c>
    </row>
    <row r="58" customFormat="false" ht="15" hidden="false" customHeight="false" outlineLevel="0" collapsed="false">
      <c r="A58" s="2" t="s">
        <v>82</v>
      </c>
      <c r="B58" s="3" t="n">
        <v>45738</v>
      </c>
      <c r="C58" s="2" t="s">
        <v>19</v>
      </c>
      <c r="D58" s="2" t="s">
        <v>45</v>
      </c>
      <c r="E58" s="2" t="s">
        <v>11</v>
      </c>
      <c r="F58" s="2" t="n">
        <v>10</v>
      </c>
      <c r="G58" s="4" t="n">
        <v>3578.17</v>
      </c>
      <c r="H58" s="4" t="n">
        <f aca="false">F58*G58</f>
        <v>35781.7</v>
      </c>
    </row>
    <row r="59" customFormat="false" ht="15" hidden="false" customHeight="false" outlineLevel="0" collapsed="false">
      <c r="A59" s="2" t="s">
        <v>83</v>
      </c>
      <c r="B59" s="3" t="n">
        <v>45662</v>
      </c>
      <c r="C59" s="2" t="s">
        <v>24</v>
      </c>
      <c r="D59" s="2" t="s">
        <v>25</v>
      </c>
      <c r="E59" s="2" t="s">
        <v>26</v>
      </c>
      <c r="F59" s="2" t="n">
        <v>5</v>
      </c>
      <c r="G59" s="4" t="n">
        <v>571.74</v>
      </c>
      <c r="H59" s="4" t="n">
        <f aca="false">F59*G59</f>
        <v>2858.7</v>
      </c>
    </row>
    <row r="60" customFormat="false" ht="15" hidden="false" customHeight="false" outlineLevel="0" collapsed="false">
      <c r="A60" s="2" t="s">
        <v>84</v>
      </c>
      <c r="B60" s="3" t="n">
        <v>45712</v>
      </c>
      <c r="C60" s="2" t="s">
        <v>16</v>
      </c>
      <c r="D60" s="2" t="s">
        <v>10</v>
      </c>
      <c r="E60" s="2" t="s">
        <v>11</v>
      </c>
      <c r="F60" s="2" t="n">
        <v>10</v>
      </c>
      <c r="G60" s="4" t="n">
        <v>8167.73</v>
      </c>
      <c r="H60" s="4" t="n">
        <f aca="false">F60*G60</f>
        <v>81677.3</v>
      </c>
    </row>
    <row r="61" customFormat="false" ht="15" hidden="false" customHeight="false" outlineLevel="0" collapsed="false">
      <c r="A61" s="2" t="s">
        <v>85</v>
      </c>
      <c r="B61" s="3" t="n">
        <v>45833</v>
      </c>
      <c r="C61" s="2" t="s">
        <v>16</v>
      </c>
      <c r="D61" s="2" t="s">
        <v>10</v>
      </c>
      <c r="E61" s="2" t="s">
        <v>11</v>
      </c>
      <c r="F61" s="2" t="n">
        <v>17</v>
      </c>
      <c r="G61" s="4" t="n">
        <v>7981.65</v>
      </c>
      <c r="H61" s="4" t="n">
        <f aca="false">F61*G61</f>
        <v>135688.05</v>
      </c>
    </row>
    <row r="62" customFormat="false" ht="15" hidden="false" customHeight="false" outlineLevel="0" collapsed="false">
      <c r="A62" s="2" t="s">
        <v>86</v>
      </c>
      <c r="B62" s="3" t="n">
        <v>45684</v>
      </c>
      <c r="C62" s="2" t="s">
        <v>9</v>
      </c>
      <c r="D62" s="2" t="s">
        <v>21</v>
      </c>
      <c r="E62" s="2" t="s">
        <v>22</v>
      </c>
      <c r="F62" s="2" t="n">
        <v>9</v>
      </c>
      <c r="G62" s="4" t="n">
        <v>136.32</v>
      </c>
      <c r="H62" s="4" t="n">
        <f aca="false">F62*G62</f>
        <v>1226.88</v>
      </c>
    </row>
    <row r="63" customFormat="false" ht="15" hidden="false" customHeight="false" outlineLevel="0" collapsed="false">
      <c r="A63" s="2" t="s">
        <v>87</v>
      </c>
      <c r="B63" s="3" t="n">
        <v>45828</v>
      </c>
      <c r="C63" s="2" t="s">
        <v>16</v>
      </c>
      <c r="D63" s="2" t="s">
        <v>10</v>
      </c>
      <c r="E63" s="2" t="s">
        <v>11</v>
      </c>
      <c r="F63" s="2" t="n">
        <v>6</v>
      </c>
      <c r="G63" s="4" t="n">
        <v>8385.97</v>
      </c>
      <c r="H63" s="4" t="n">
        <f aca="false">F63*G63</f>
        <v>50315.82</v>
      </c>
    </row>
    <row r="64" customFormat="false" ht="15" hidden="false" customHeight="false" outlineLevel="0" collapsed="false">
      <c r="A64" s="2" t="s">
        <v>88</v>
      </c>
      <c r="B64" s="3" t="n">
        <v>45876</v>
      </c>
      <c r="C64" s="2" t="s">
        <v>9</v>
      </c>
      <c r="D64" s="2" t="s">
        <v>25</v>
      </c>
      <c r="E64" s="2" t="s">
        <v>26</v>
      </c>
      <c r="F64" s="2" t="n">
        <v>3</v>
      </c>
      <c r="G64" s="4" t="n">
        <v>653.41</v>
      </c>
      <c r="H64" s="4" t="n">
        <f aca="false">F64*G64</f>
        <v>1960.23</v>
      </c>
    </row>
    <row r="65" customFormat="false" ht="15" hidden="false" customHeight="false" outlineLevel="0" collapsed="false">
      <c r="A65" s="2" t="s">
        <v>89</v>
      </c>
      <c r="B65" s="3" t="n">
        <v>45734</v>
      </c>
      <c r="C65" s="2" t="s">
        <v>9</v>
      </c>
      <c r="D65" s="2" t="s">
        <v>72</v>
      </c>
      <c r="E65" s="2" t="s">
        <v>22</v>
      </c>
      <c r="F65" s="2" t="n">
        <v>19</v>
      </c>
      <c r="G65" s="4" t="n">
        <v>50.53</v>
      </c>
      <c r="H65" s="4" t="n">
        <f aca="false">F65*G65</f>
        <v>960.07</v>
      </c>
    </row>
    <row r="66" customFormat="false" ht="15" hidden="false" customHeight="false" outlineLevel="0" collapsed="false">
      <c r="A66" s="2" t="s">
        <v>90</v>
      </c>
      <c r="B66" s="3" t="n">
        <v>45878</v>
      </c>
      <c r="C66" s="2" t="s">
        <v>16</v>
      </c>
      <c r="D66" s="2" t="s">
        <v>37</v>
      </c>
      <c r="E66" s="2" t="s">
        <v>26</v>
      </c>
      <c r="F66" s="2" t="n">
        <v>10</v>
      </c>
      <c r="G66" s="4" t="n">
        <v>53511.17</v>
      </c>
      <c r="H66" s="4" t="n">
        <f aca="false">F66*G66</f>
        <v>535111.7</v>
      </c>
    </row>
    <row r="67" customFormat="false" ht="15" hidden="false" customHeight="false" outlineLevel="0" collapsed="false">
      <c r="A67" s="2" t="s">
        <v>91</v>
      </c>
      <c r="B67" s="3" t="n">
        <v>45678</v>
      </c>
      <c r="C67" s="2" t="s">
        <v>24</v>
      </c>
      <c r="D67" s="2" t="s">
        <v>17</v>
      </c>
      <c r="E67" s="2" t="s">
        <v>11</v>
      </c>
      <c r="F67" s="2" t="n">
        <v>8</v>
      </c>
      <c r="G67" s="4" t="n">
        <v>4650.24</v>
      </c>
      <c r="H67" s="4" t="n">
        <f aca="false">F67*G67</f>
        <v>37201.92</v>
      </c>
    </row>
    <row r="68" customFormat="false" ht="15" hidden="false" customHeight="false" outlineLevel="0" collapsed="false">
      <c r="A68" s="2" t="s">
        <v>92</v>
      </c>
      <c r="B68" s="3" t="n">
        <v>45839</v>
      </c>
      <c r="C68" s="2" t="s">
        <v>19</v>
      </c>
      <c r="D68" s="2" t="s">
        <v>13</v>
      </c>
      <c r="E68" s="2" t="s">
        <v>14</v>
      </c>
      <c r="F68" s="2" t="n">
        <v>5</v>
      </c>
      <c r="G68" s="4" t="n">
        <v>1953.27</v>
      </c>
      <c r="H68" s="4" t="n">
        <f aca="false">F68*G68</f>
        <v>9766.35</v>
      </c>
    </row>
    <row r="69" customFormat="false" ht="15" hidden="false" customHeight="false" outlineLevel="0" collapsed="false">
      <c r="A69" s="2" t="s">
        <v>93</v>
      </c>
      <c r="B69" s="3" t="n">
        <v>45779</v>
      </c>
      <c r="C69" s="2" t="s">
        <v>16</v>
      </c>
      <c r="D69" s="2" t="s">
        <v>32</v>
      </c>
      <c r="E69" s="2" t="s">
        <v>26</v>
      </c>
      <c r="F69" s="2" t="n">
        <v>14</v>
      </c>
      <c r="G69" s="4" t="n">
        <v>1085.95</v>
      </c>
      <c r="H69" s="4" t="n">
        <f aca="false">F69*G69</f>
        <v>15203.3</v>
      </c>
    </row>
    <row r="70" customFormat="false" ht="15" hidden="false" customHeight="false" outlineLevel="0" collapsed="false">
      <c r="A70" s="2" t="s">
        <v>94</v>
      </c>
      <c r="B70" s="3" t="n">
        <v>45828</v>
      </c>
      <c r="C70" s="2" t="s">
        <v>19</v>
      </c>
      <c r="D70" s="2" t="s">
        <v>17</v>
      </c>
      <c r="E70" s="2" t="s">
        <v>11</v>
      </c>
      <c r="F70" s="2" t="n">
        <v>9</v>
      </c>
      <c r="G70" s="4" t="n">
        <v>4193.28</v>
      </c>
      <c r="H70" s="4" t="n">
        <f aca="false">F70*G70</f>
        <v>37739.52</v>
      </c>
    </row>
    <row r="71" customFormat="false" ht="15" hidden="false" customHeight="false" outlineLevel="0" collapsed="false">
      <c r="A71" s="2" t="s">
        <v>95</v>
      </c>
      <c r="B71" s="3" t="n">
        <v>45713</v>
      </c>
      <c r="C71" s="2" t="s">
        <v>19</v>
      </c>
      <c r="D71" s="2" t="s">
        <v>37</v>
      </c>
      <c r="E71" s="2" t="s">
        <v>26</v>
      </c>
      <c r="F71" s="2" t="n">
        <v>16</v>
      </c>
      <c r="G71" s="4" t="n">
        <v>51946.77</v>
      </c>
      <c r="H71" s="4" t="n">
        <f aca="false">F71*G71</f>
        <v>831148.32</v>
      </c>
    </row>
    <row r="72" customFormat="false" ht="15" hidden="false" customHeight="false" outlineLevel="0" collapsed="false">
      <c r="A72" s="2" t="s">
        <v>96</v>
      </c>
      <c r="B72" s="3" t="n">
        <v>45893</v>
      </c>
      <c r="C72" s="2" t="s">
        <v>24</v>
      </c>
      <c r="D72" s="2" t="s">
        <v>10</v>
      </c>
      <c r="E72" s="2" t="s">
        <v>11</v>
      </c>
      <c r="F72" s="2" t="n">
        <v>8</v>
      </c>
      <c r="G72" s="4" t="n">
        <v>7556.68</v>
      </c>
      <c r="H72" s="4" t="n">
        <f aca="false">F72*G72</f>
        <v>60453.44</v>
      </c>
    </row>
    <row r="73" customFormat="false" ht="15" hidden="false" customHeight="false" outlineLevel="0" collapsed="false">
      <c r="A73" s="2" t="s">
        <v>97</v>
      </c>
      <c r="B73" s="3" t="n">
        <v>45756</v>
      </c>
      <c r="C73" s="2" t="s">
        <v>19</v>
      </c>
      <c r="D73" s="2" t="s">
        <v>72</v>
      </c>
      <c r="E73" s="2" t="s">
        <v>22</v>
      </c>
      <c r="F73" s="2" t="n">
        <v>9</v>
      </c>
      <c r="G73" s="4" t="n">
        <v>53.64</v>
      </c>
      <c r="H73" s="4" t="n">
        <f aca="false">F73*G73</f>
        <v>482.76</v>
      </c>
    </row>
    <row r="74" customFormat="false" ht="15" hidden="false" customHeight="false" outlineLevel="0" collapsed="false">
      <c r="A74" s="2" t="s">
        <v>98</v>
      </c>
      <c r="B74" s="3" t="n">
        <v>45800</v>
      </c>
      <c r="C74" s="2" t="s">
        <v>24</v>
      </c>
      <c r="D74" s="2" t="s">
        <v>45</v>
      </c>
      <c r="E74" s="2" t="s">
        <v>11</v>
      </c>
      <c r="F74" s="2" t="n">
        <v>13</v>
      </c>
      <c r="G74" s="4" t="n">
        <v>3625.66</v>
      </c>
      <c r="H74" s="4" t="n">
        <f aca="false">F74*G74</f>
        <v>47133.58</v>
      </c>
    </row>
    <row r="75" customFormat="false" ht="15" hidden="false" customHeight="false" outlineLevel="0" collapsed="false">
      <c r="A75" s="2" t="s">
        <v>99</v>
      </c>
      <c r="B75" s="3" t="n">
        <v>45827</v>
      </c>
      <c r="C75" s="2" t="s">
        <v>9</v>
      </c>
      <c r="D75" s="2" t="s">
        <v>25</v>
      </c>
      <c r="E75" s="2" t="s">
        <v>26</v>
      </c>
      <c r="F75" s="2" t="n">
        <v>9</v>
      </c>
      <c r="G75" s="4" t="n">
        <v>561.43</v>
      </c>
      <c r="H75" s="4" t="n">
        <f aca="false">F75*G75</f>
        <v>5052.87</v>
      </c>
    </row>
    <row r="76" customFormat="false" ht="15" hidden="false" customHeight="false" outlineLevel="0" collapsed="false">
      <c r="A76" s="2" t="s">
        <v>100</v>
      </c>
      <c r="B76" s="3" t="n">
        <v>45793</v>
      </c>
      <c r="C76" s="2" t="s">
        <v>9</v>
      </c>
      <c r="D76" s="2" t="s">
        <v>25</v>
      </c>
      <c r="E76" s="2" t="s">
        <v>26</v>
      </c>
      <c r="F76" s="2" t="n">
        <v>20</v>
      </c>
      <c r="G76" s="4" t="n">
        <v>592.15</v>
      </c>
      <c r="H76" s="4" t="n">
        <f aca="false">F76*G76</f>
        <v>11843</v>
      </c>
    </row>
    <row r="77" customFormat="false" ht="15" hidden="false" customHeight="false" outlineLevel="0" collapsed="false">
      <c r="A77" s="2" t="s">
        <v>101</v>
      </c>
      <c r="B77" s="3" t="n">
        <v>45818</v>
      </c>
      <c r="C77" s="2" t="s">
        <v>19</v>
      </c>
      <c r="D77" s="2" t="s">
        <v>13</v>
      </c>
      <c r="E77" s="2" t="s">
        <v>14</v>
      </c>
      <c r="F77" s="2" t="n">
        <v>17</v>
      </c>
      <c r="G77" s="4" t="n">
        <v>1661.63</v>
      </c>
      <c r="H77" s="4" t="n">
        <f aca="false">F77*G77</f>
        <v>28247.71</v>
      </c>
    </row>
    <row r="78" customFormat="false" ht="15" hidden="false" customHeight="false" outlineLevel="0" collapsed="false">
      <c r="A78" s="2" t="s">
        <v>102</v>
      </c>
      <c r="B78" s="3" t="n">
        <v>45755</v>
      </c>
      <c r="C78" s="2" t="s">
        <v>24</v>
      </c>
      <c r="D78" s="2" t="s">
        <v>37</v>
      </c>
      <c r="E78" s="2" t="s">
        <v>26</v>
      </c>
      <c r="F78" s="2" t="n">
        <v>14</v>
      </c>
      <c r="G78" s="4" t="n">
        <v>49518.6</v>
      </c>
      <c r="H78" s="4" t="n">
        <f aca="false">F78*G78</f>
        <v>693260.4</v>
      </c>
    </row>
    <row r="79" customFormat="false" ht="15" hidden="false" customHeight="false" outlineLevel="0" collapsed="false">
      <c r="A79" s="2" t="s">
        <v>103</v>
      </c>
      <c r="B79" s="3" t="n">
        <v>45758</v>
      </c>
      <c r="C79" s="2" t="s">
        <v>24</v>
      </c>
      <c r="D79" s="2" t="s">
        <v>21</v>
      </c>
      <c r="E79" s="2" t="s">
        <v>22</v>
      </c>
      <c r="F79" s="2" t="n">
        <v>3</v>
      </c>
      <c r="G79" s="4" t="n">
        <v>163.47</v>
      </c>
      <c r="H79" s="4" t="n">
        <f aca="false">F79*G79</f>
        <v>490.41</v>
      </c>
    </row>
    <row r="80" customFormat="false" ht="15" hidden="false" customHeight="false" outlineLevel="0" collapsed="false">
      <c r="A80" s="2" t="s">
        <v>104</v>
      </c>
      <c r="B80" s="3" t="n">
        <v>45827</v>
      </c>
      <c r="C80" s="2" t="s">
        <v>24</v>
      </c>
      <c r="D80" s="2" t="s">
        <v>25</v>
      </c>
      <c r="E80" s="2" t="s">
        <v>26</v>
      </c>
      <c r="F80" s="2" t="n">
        <v>10</v>
      </c>
      <c r="G80" s="4" t="n">
        <v>600.85</v>
      </c>
      <c r="H80" s="4" t="n">
        <f aca="false">F80*G80</f>
        <v>6008.5</v>
      </c>
    </row>
    <row r="81" customFormat="false" ht="15" hidden="false" customHeight="false" outlineLevel="0" collapsed="false">
      <c r="A81" s="2" t="s">
        <v>105</v>
      </c>
      <c r="B81" s="3" t="n">
        <v>45867</v>
      </c>
      <c r="C81" s="2" t="s">
        <v>24</v>
      </c>
      <c r="D81" s="2" t="s">
        <v>21</v>
      </c>
      <c r="E81" s="2" t="s">
        <v>22</v>
      </c>
      <c r="F81" s="2" t="n">
        <v>10</v>
      </c>
      <c r="G81" s="4" t="n">
        <v>151.63</v>
      </c>
      <c r="H81" s="4" t="n">
        <f aca="false">F81*G81</f>
        <v>1516.3</v>
      </c>
    </row>
    <row r="82" customFormat="false" ht="15" hidden="false" customHeight="false" outlineLevel="0" collapsed="false">
      <c r="A82" s="2" t="s">
        <v>106</v>
      </c>
      <c r="B82" s="3" t="n">
        <v>45756</v>
      </c>
      <c r="C82" s="2" t="s">
        <v>19</v>
      </c>
      <c r="D82" s="2" t="s">
        <v>21</v>
      </c>
      <c r="E82" s="2" t="s">
        <v>22</v>
      </c>
      <c r="F82" s="2" t="n">
        <v>6</v>
      </c>
      <c r="G82" s="4" t="n">
        <v>153.47</v>
      </c>
      <c r="H82" s="4" t="n">
        <f aca="false">F82*G82</f>
        <v>920.82</v>
      </c>
    </row>
    <row r="83" customFormat="false" ht="15" hidden="false" customHeight="false" outlineLevel="0" collapsed="false">
      <c r="A83" s="2" t="s">
        <v>107</v>
      </c>
      <c r="B83" s="3" t="n">
        <v>45812</v>
      </c>
      <c r="C83" s="2" t="s">
        <v>19</v>
      </c>
      <c r="D83" s="2" t="s">
        <v>45</v>
      </c>
      <c r="E83" s="2" t="s">
        <v>11</v>
      </c>
      <c r="F83" s="2" t="n">
        <v>1</v>
      </c>
      <c r="G83" s="4" t="n">
        <v>3362.71</v>
      </c>
      <c r="H83" s="4" t="n">
        <f aca="false">F83*G83</f>
        <v>3362.71</v>
      </c>
    </row>
    <row r="84" customFormat="false" ht="15" hidden="false" customHeight="false" outlineLevel="0" collapsed="false">
      <c r="A84" s="2" t="s">
        <v>108</v>
      </c>
      <c r="B84" s="3" t="n">
        <v>45765</v>
      </c>
      <c r="C84" s="2" t="s">
        <v>19</v>
      </c>
      <c r="D84" s="2" t="s">
        <v>13</v>
      </c>
      <c r="E84" s="2" t="s">
        <v>14</v>
      </c>
      <c r="F84" s="2" t="n">
        <v>20</v>
      </c>
      <c r="G84" s="4" t="n">
        <v>1855.69</v>
      </c>
      <c r="H84" s="4" t="n">
        <f aca="false">F84*G84</f>
        <v>37113.8</v>
      </c>
    </row>
    <row r="85" customFormat="false" ht="15" hidden="false" customHeight="false" outlineLevel="0" collapsed="false">
      <c r="A85" s="2" t="s">
        <v>109</v>
      </c>
      <c r="B85" s="3" t="n">
        <v>45896</v>
      </c>
      <c r="C85" s="2" t="s">
        <v>19</v>
      </c>
      <c r="D85" s="2" t="s">
        <v>35</v>
      </c>
      <c r="E85" s="2" t="s">
        <v>26</v>
      </c>
      <c r="F85" s="2" t="n">
        <v>7</v>
      </c>
      <c r="G85" s="4" t="n">
        <v>12026.82</v>
      </c>
      <c r="H85" s="4" t="n">
        <f aca="false">F85*G85</f>
        <v>84187.74</v>
      </c>
    </row>
    <row r="86" customFormat="false" ht="15" hidden="false" customHeight="false" outlineLevel="0" collapsed="false">
      <c r="A86" s="2" t="s">
        <v>110</v>
      </c>
      <c r="B86" s="3" t="n">
        <v>45744</v>
      </c>
      <c r="C86" s="2" t="s">
        <v>9</v>
      </c>
      <c r="D86" s="2" t="s">
        <v>10</v>
      </c>
      <c r="E86" s="2" t="s">
        <v>11</v>
      </c>
      <c r="F86" s="2" t="n">
        <v>17</v>
      </c>
      <c r="G86" s="4" t="n">
        <v>8262.17</v>
      </c>
      <c r="H86" s="4" t="n">
        <f aca="false">F86*G86</f>
        <v>140456.89</v>
      </c>
    </row>
    <row r="87" customFormat="false" ht="15" hidden="false" customHeight="false" outlineLevel="0" collapsed="false">
      <c r="A87" s="2" t="s">
        <v>111</v>
      </c>
      <c r="B87" s="3" t="n">
        <v>45829</v>
      </c>
      <c r="C87" s="2" t="s">
        <v>9</v>
      </c>
      <c r="D87" s="2" t="s">
        <v>17</v>
      </c>
      <c r="E87" s="2" t="s">
        <v>11</v>
      </c>
      <c r="F87" s="2" t="n">
        <v>10</v>
      </c>
      <c r="G87" s="4" t="n">
        <v>4252.18</v>
      </c>
      <c r="H87" s="4" t="n">
        <f aca="false">F87*G87</f>
        <v>42521.8</v>
      </c>
    </row>
    <row r="88" customFormat="false" ht="15" hidden="false" customHeight="false" outlineLevel="0" collapsed="false">
      <c r="A88" s="2" t="s">
        <v>112</v>
      </c>
      <c r="B88" s="3" t="n">
        <v>45759</v>
      </c>
      <c r="C88" s="2" t="s">
        <v>16</v>
      </c>
      <c r="D88" s="2" t="s">
        <v>37</v>
      </c>
      <c r="E88" s="2" t="s">
        <v>26</v>
      </c>
      <c r="F88" s="2" t="n">
        <v>2</v>
      </c>
      <c r="G88" s="4" t="n">
        <v>52193.27</v>
      </c>
      <c r="H88" s="4" t="n">
        <f aca="false">F88*G88</f>
        <v>104386.54</v>
      </c>
    </row>
    <row r="89" customFormat="false" ht="15" hidden="false" customHeight="false" outlineLevel="0" collapsed="false">
      <c r="A89" s="2" t="s">
        <v>113</v>
      </c>
      <c r="B89" s="3" t="n">
        <v>45901</v>
      </c>
      <c r="C89" s="2" t="s">
        <v>9</v>
      </c>
      <c r="D89" s="2" t="s">
        <v>35</v>
      </c>
      <c r="E89" s="2" t="s">
        <v>26</v>
      </c>
      <c r="F89" s="2" t="n">
        <v>14</v>
      </c>
      <c r="G89" s="4" t="n">
        <v>12926.73</v>
      </c>
      <c r="H89" s="4" t="n">
        <f aca="false">F89*G89</f>
        <v>180974.22</v>
      </c>
    </row>
    <row r="90" customFormat="false" ht="15" hidden="false" customHeight="false" outlineLevel="0" collapsed="false">
      <c r="A90" s="2" t="s">
        <v>114</v>
      </c>
      <c r="B90" s="3" t="n">
        <v>45757</v>
      </c>
      <c r="C90" s="2" t="s">
        <v>19</v>
      </c>
      <c r="D90" s="2" t="s">
        <v>35</v>
      </c>
      <c r="E90" s="2" t="s">
        <v>26</v>
      </c>
      <c r="F90" s="2" t="n">
        <v>13</v>
      </c>
      <c r="G90" s="4" t="n">
        <v>11385.56</v>
      </c>
      <c r="H90" s="4" t="n">
        <f aca="false">F90*G90</f>
        <v>148012.28</v>
      </c>
    </row>
    <row r="91" customFormat="false" ht="15" hidden="false" customHeight="false" outlineLevel="0" collapsed="false">
      <c r="A91" s="2" t="s">
        <v>115</v>
      </c>
      <c r="B91" s="3" t="n">
        <v>45660</v>
      </c>
      <c r="C91" s="2" t="s">
        <v>9</v>
      </c>
      <c r="D91" s="2" t="s">
        <v>21</v>
      </c>
      <c r="E91" s="2" t="s">
        <v>22</v>
      </c>
      <c r="F91" s="2" t="n">
        <v>8</v>
      </c>
      <c r="G91" s="4" t="n">
        <v>140.28</v>
      </c>
      <c r="H91" s="4" t="n">
        <f aca="false">F91*G91</f>
        <v>1122.24</v>
      </c>
    </row>
    <row r="92" customFormat="false" ht="15" hidden="false" customHeight="false" outlineLevel="0" collapsed="false">
      <c r="A92" s="2" t="s">
        <v>116</v>
      </c>
      <c r="B92" s="3" t="n">
        <v>45923</v>
      </c>
      <c r="C92" s="2" t="s">
        <v>19</v>
      </c>
      <c r="D92" s="2" t="s">
        <v>37</v>
      </c>
      <c r="E92" s="2" t="s">
        <v>26</v>
      </c>
      <c r="F92" s="2" t="n">
        <v>18</v>
      </c>
      <c r="G92" s="4" t="n">
        <v>52241.18</v>
      </c>
      <c r="H92" s="4" t="n">
        <f aca="false">F92*G92</f>
        <v>940341.24</v>
      </c>
    </row>
    <row r="93" customFormat="false" ht="15" hidden="false" customHeight="false" outlineLevel="0" collapsed="false">
      <c r="A93" s="2" t="s">
        <v>117</v>
      </c>
      <c r="B93" s="3" t="n">
        <v>45720</v>
      </c>
      <c r="C93" s="2" t="s">
        <v>19</v>
      </c>
      <c r="D93" s="2" t="s">
        <v>32</v>
      </c>
      <c r="E93" s="2" t="s">
        <v>26</v>
      </c>
      <c r="F93" s="2" t="n">
        <v>15</v>
      </c>
      <c r="G93" s="4" t="n">
        <v>1240.22</v>
      </c>
      <c r="H93" s="4" t="n">
        <f aca="false">F93*G93</f>
        <v>18603.3</v>
      </c>
    </row>
    <row r="94" customFormat="false" ht="15" hidden="false" customHeight="false" outlineLevel="0" collapsed="false">
      <c r="A94" s="2" t="s">
        <v>118</v>
      </c>
      <c r="B94" s="3" t="n">
        <v>45820</v>
      </c>
      <c r="C94" s="2" t="s">
        <v>19</v>
      </c>
      <c r="D94" s="2" t="s">
        <v>13</v>
      </c>
      <c r="E94" s="2" t="s">
        <v>14</v>
      </c>
      <c r="F94" s="2" t="n">
        <v>17</v>
      </c>
      <c r="G94" s="4" t="n">
        <v>1773.63</v>
      </c>
      <c r="H94" s="4" t="n">
        <f aca="false">F94*G94</f>
        <v>30151.71</v>
      </c>
    </row>
    <row r="95" customFormat="false" ht="15" hidden="false" customHeight="false" outlineLevel="0" collapsed="false">
      <c r="A95" s="2" t="s">
        <v>119</v>
      </c>
      <c r="B95" s="3" t="n">
        <v>45886</v>
      </c>
      <c r="C95" s="2" t="s">
        <v>16</v>
      </c>
      <c r="D95" s="2" t="s">
        <v>35</v>
      </c>
      <c r="E95" s="2" t="s">
        <v>26</v>
      </c>
      <c r="F95" s="2" t="n">
        <v>15</v>
      </c>
      <c r="G95" s="4" t="n">
        <v>11422.06</v>
      </c>
      <c r="H95" s="4" t="n">
        <f aca="false">F95*G95</f>
        <v>171330.9</v>
      </c>
    </row>
    <row r="96" customFormat="false" ht="15" hidden="false" customHeight="false" outlineLevel="0" collapsed="false">
      <c r="A96" s="2" t="s">
        <v>120</v>
      </c>
      <c r="B96" s="3" t="n">
        <v>45784</v>
      </c>
      <c r="C96" s="2" t="s">
        <v>24</v>
      </c>
      <c r="D96" s="2" t="s">
        <v>45</v>
      </c>
      <c r="E96" s="2" t="s">
        <v>11</v>
      </c>
      <c r="F96" s="2" t="n">
        <v>16</v>
      </c>
      <c r="G96" s="4" t="n">
        <v>3588.72</v>
      </c>
      <c r="H96" s="4" t="n">
        <f aca="false">F96*G96</f>
        <v>57419.52</v>
      </c>
    </row>
    <row r="97" customFormat="false" ht="15" hidden="false" customHeight="false" outlineLevel="0" collapsed="false">
      <c r="A97" s="2" t="s">
        <v>121</v>
      </c>
      <c r="B97" s="3" t="n">
        <v>45798</v>
      </c>
      <c r="C97" s="2" t="s">
        <v>19</v>
      </c>
      <c r="D97" s="2" t="s">
        <v>25</v>
      </c>
      <c r="E97" s="2" t="s">
        <v>26</v>
      </c>
      <c r="F97" s="2" t="n">
        <v>10</v>
      </c>
      <c r="G97" s="4" t="n">
        <v>568.14</v>
      </c>
      <c r="H97" s="4" t="n">
        <f aca="false">F97*G97</f>
        <v>5681.4</v>
      </c>
    </row>
    <row r="98" customFormat="false" ht="15" hidden="false" customHeight="false" outlineLevel="0" collapsed="false">
      <c r="A98" s="2" t="s">
        <v>122</v>
      </c>
      <c r="B98" s="3" t="n">
        <v>45829</v>
      </c>
      <c r="C98" s="2" t="s">
        <v>24</v>
      </c>
      <c r="D98" s="2" t="s">
        <v>45</v>
      </c>
      <c r="E98" s="2" t="s">
        <v>11</v>
      </c>
      <c r="F98" s="2" t="n">
        <v>3</v>
      </c>
      <c r="G98" s="4" t="n">
        <v>3246.86</v>
      </c>
      <c r="H98" s="4" t="n">
        <f aca="false">F98*G98</f>
        <v>9740.58</v>
      </c>
    </row>
    <row r="99" customFormat="false" ht="15" hidden="false" customHeight="false" outlineLevel="0" collapsed="false">
      <c r="A99" s="2" t="s">
        <v>123</v>
      </c>
      <c r="B99" s="3" t="n">
        <v>45776</v>
      </c>
      <c r="C99" s="2" t="s">
        <v>19</v>
      </c>
      <c r="D99" s="2" t="s">
        <v>32</v>
      </c>
      <c r="E99" s="2" t="s">
        <v>26</v>
      </c>
      <c r="F99" s="2" t="n">
        <v>7</v>
      </c>
      <c r="G99" s="4" t="n">
        <v>1095.41</v>
      </c>
      <c r="H99" s="4" t="n">
        <f aca="false">F99*G99</f>
        <v>7667.87</v>
      </c>
    </row>
    <row r="100" customFormat="false" ht="15" hidden="false" customHeight="false" outlineLevel="0" collapsed="false">
      <c r="A100" s="2" t="s">
        <v>124</v>
      </c>
      <c r="B100" s="3" t="n">
        <v>45866</v>
      </c>
      <c r="C100" s="2" t="s">
        <v>24</v>
      </c>
      <c r="D100" s="2" t="s">
        <v>45</v>
      </c>
      <c r="E100" s="2" t="s">
        <v>11</v>
      </c>
      <c r="F100" s="2" t="n">
        <v>15</v>
      </c>
      <c r="G100" s="4" t="n">
        <v>3441.04</v>
      </c>
      <c r="H100" s="4" t="n">
        <f aca="false">F100*G100</f>
        <v>51615.6</v>
      </c>
    </row>
    <row r="101" customFormat="false" ht="15" hidden="false" customHeight="false" outlineLevel="0" collapsed="false">
      <c r="A101" s="2" t="s">
        <v>125</v>
      </c>
      <c r="B101" s="3" t="n">
        <v>45763</v>
      </c>
      <c r="C101" s="2" t="s">
        <v>19</v>
      </c>
      <c r="D101" s="2" t="s">
        <v>21</v>
      </c>
      <c r="E101" s="2" t="s">
        <v>22</v>
      </c>
      <c r="F101" s="2" t="n">
        <v>19</v>
      </c>
      <c r="G101" s="4" t="n">
        <v>163.38</v>
      </c>
      <c r="H101" s="4" t="n">
        <f aca="false">F101*G101</f>
        <v>3104.22</v>
      </c>
    </row>
    <row r="102" customFormat="false" ht="15" hidden="false" customHeight="false" outlineLevel="0" collapsed="false">
      <c r="A102" s="2" t="s">
        <v>126</v>
      </c>
      <c r="B102" s="3" t="n">
        <v>45668</v>
      </c>
      <c r="C102" s="2" t="s">
        <v>19</v>
      </c>
      <c r="D102" s="2" t="s">
        <v>35</v>
      </c>
      <c r="E102" s="2" t="s">
        <v>26</v>
      </c>
      <c r="F102" s="2" t="n">
        <v>1</v>
      </c>
      <c r="G102" s="4" t="n">
        <v>13062.58</v>
      </c>
      <c r="H102" s="4" t="n">
        <f aca="false">F102*G102</f>
        <v>13062.58</v>
      </c>
    </row>
    <row r="103" customFormat="false" ht="15" hidden="false" customHeight="false" outlineLevel="0" collapsed="false">
      <c r="A103" s="2" t="s">
        <v>127</v>
      </c>
      <c r="B103" s="3" t="n">
        <v>45810</v>
      </c>
      <c r="C103" s="2" t="s">
        <v>19</v>
      </c>
      <c r="D103" s="2" t="s">
        <v>21</v>
      </c>
      <c r="E103" s="2" t="s">
        <v>22</v>
      </c>
      <c r="F103" s="2" t="n">
        <v>18</v>
      </c>
      <c r="G103" s="4" t="n">
        <v>157.43</v>
      </c>
      <c r="H103" s="4" t="n">
        <f aca="false">F103*G103</f>
        <v>2833.74</v>
      </c>
    </row>
    <row r="104" customFormat="false" ht="15" hidden="false" customHeight="false" outlineLevel="0" collapsed="false">
      <c r="A104" s="2" t="s">
        <v>128</v>
      </c>
      <c r="B104" s="3" t="n">
        <v>45770</v>
      </c>
      <c r="C104" s="2" t="s">
        <v>19</v>
      </c>
      <c r="D104" s="2" t="s">
        <v>17</v>
      </c>
      <c r="E104" s="2" t="s">
        <v>11</v>
      </c>
      <c r="F104" s="2" t="n">
        <v>9</v>
      </c>
      <c r="G104" s="4" t="n">
        <v>4442.25</v>
      </c>
      <c r="H104" s="4" t="n">
        <f aca="false">F104*G104</f>
        <v>39980.25</v>
      </c>
    </row>
    <row r="105" customFormat="false" ht="15" hidden="false" customHeight="false" outlineLevel="0" collapsed="false">
      <c r="A105" s="2" t="s">
        <v>129</v>
      </c>
      <c r="B105" s="3" t="n">
        <v>45672</v>
      </c>
      <c r="C105" s="2" t="s">
        <v>19</v>
      </c>
      <c r="D105" s="2" t="s">
        <v>72</v>
      </c>
      <c r="E105" s="2" t="s">
        <v>22</v>
      </c>
      <c r="F105" s="2" t="n">
        <v>13</v>
      </c>
      <c r="G105" s="4" t="n">
        <v>52.24</v>
      </c>
      <c r="H105" s="4" t="n">
        <f aca="false">F105*G105</f>
        <v>679.12</v>
      </c>
    </row>
    <row r="106" customFormat="false" ht="15" hidden="false" customHeight="false" outlineLevel="0" collapsed="false">
      <c r="A106" s="2" t="s">
        <v>130</v>
      </c>
      <c r="B106" s="3" t="n">
        <v>45897</v>
      </c>
      <c r="C106" s="2" t="s">
        <v>16</v>
      </c>
      <c r="D106" s="2" t="s">
        <v>13</v>
      </c>
      <c r="E106" s="2" t="s">
        <v>14</v>
      </c>
      <c r="F106" s="2" t="n">
        <v>18</v>
      </c>
      <c r="G106" s="4" t="n">
        <v>1629.71</v>
      </c>
      <c r="H106" s="4" t="n">
        <f aca="false">F106*G106</f>
        <v>29334.78</v>
      </c>
    </row>
    <row r="107" customFormat="false" ht="15" hidden="false" customHeight="false" outlineLevel="0" collapsed="false">
      <c r="A107" s="2" t="s">
        <v>131</v>
      </c>
      <c r="B107" s="3" t="n">
        <v>45859</v>
      </c>
      <c r="C107" s="2" t="s">
        <v>9</v>
      </c>
      <c r="D107" s="2" t="s">
        <v>25</v>
      </c>
      <c r="E107" s="2" t="s">
        <v>26</v>
      </c>
      <c r="F107" s="2" t="n">
        <v>14</v>
      </c>
      <c r="G107" s="4" t="n">
        <v>556.28</v>
      </c>
      <c r="H107" s="4" t="n">
        <f aca="false">F107*G107</f>
        <v>7787.92</v>
      </c>
    </row>
    <row r="108" customFormat="false" ht="15" hidden="false" customHeight="false" outlineLevel="0" collapsed="false">
      <c r="A108" s="2" t="s">
        <v>132</v>
      </c>
      <c r="B108" s="3" t="n">
        <v>45894</v>
      </c>
      <c r="C108" s="2" t="s">
        <v>16</v>
      </c>
      <c r="D108" s="2" t="s">
        <v>37</v>
      </c>
      <c r="E108" s="2" t="s">
        <v>26</v>
      </c>
      <c r="F108" s="2" t="n">
        <v>9</v>
      </c>
      <c r="G108" s="4" t="n">
        <v>53670.14</v>
      </c>
      <c r="H108" s="4" t="n">
        <f aca="false">F108*G108</f>
        <v>483031.26</v>
      </c>
    </row>
    <row r="109" customFormat="false" ht="15" hidden="false" customHeight="false" outlineLevel="0" collapsed="false">
      <c r="A109" s="2" t="s">
        <v>133</v>
      </c>
      <c r="B109" s="3" t="n">
        <v>45766</v>
      </c>
      <c r="C109" s="2" t="s">
        <v>19</v>
      </c>
      <c r="D109" s="2" t="s">
        <v>72</v>
      </c>
      <c r="E109" s="2" t="s">
        <v>22</v>
      </c>
      <c r="F109" s="2" t="n">
        <v>11</v>
      </c>
      <c r="G109" s="4" t="n">
        <v>52.61</v>
      </c>
      <c r="H109" s="4" t="n">
        <f aca="false">F109*G109</f>
        <v>578.71</v>
      </c>
    </row>
    <row r="110" customFormat="false" ht="15" hidden="false" customHeight="false" outlineLevel="0" collapsed="false">
      <c r="A110" s="2" t="s">
        <v>134</v>
      </c>
      <c r="B110" s="3" t="n">
        <v>45852</v>
      </c>
      <c r="C110" s="2" t="s">
        <v>24</v>
      </c>
      <c r="D110" s="2" t="s">
        <v>21</v>
      </c>
      <c r="E110" s="2" t="s">
        <v>22</v>
      </c>
      <c r="F110" s="2" t="n">
        <v>9</v>
      </c>
      <c r="G110" s="4" t="n">
        <v>160.05</v>
      </c>
      <c r="H110" s="4" t="n">
        <f aca="false">F110*G110</f>
        <v>1440.45</v>
      </c>
    </row>
    <row r="111" customFormat="false" ht="15" hidden="false" customHeight="false" outlineLevel="0" collapsed="false">
      <c r="A111" s="2" t="s">
        <v>135</v>
      </c>
      <c r="B111" s="3" t="n">
        <v>45898</v>
      </c>
      <c r="C111" s="2" t="s">
        <v>9</v>
      </c>
      <c r="D111" s="2" t="s">
        <v>45</v>
      </c>
      <c r="E111" s="2" t="s">
        <v>11</v>
      </c>
      <c r="F111" s="2" t="n">
        <v>2</v>
      </c>
      <c r="G111" s="4" t="n">
        <v>3849.94</v>
      </c>
      <c r="H111" s="4" t="n">
        <f aca="false">F111*G111</f>
        <v>7699.88</v>
      </c>
    </row>
    <row r="112" customFormat="false" ht="15" hidden="false" customHeight="false" outlineLevel="0" collapsed="false">
      <c r="A112" s="2" t="s">
        <v>136</v>
      </c>
      <c r="B112" s="3" t="n">
        <v>45837</v>
      </c>
      <c r="C112" s="2" t="s">
        <v>16</v>
      </c>
      <c r="D112" s="2" t="s">
        <v>25</v>
      </c>
      <c r="E112" s="2" t="s">
        <v>26</v>
      </c>
      <c r="F112" s="2" t="n">
        <v>2</v>
      </c>
      <c r="G112" s="4" t="n">
        <v>630.51</v>
      </c>
      <c r="H112" s="4" t="n">
        <f aca="false">F112*G112</f>
        <v>1261.02</v>
      </c>
    </row>
    <row r="113" customFormat="false" ht="15" hidden="false" customHeight="false" outlineLevel="0" collapsed="false">
      <c r="A113" s="2" t="s">
        <v>137</v>
      </c>
      <c r="B113" s="3" t="n">
        <v>45784</v>
      </c>
      <c r="C113" s="2" t="s">
        <v>16</v>
      </c>
      <c r="D113" s="2" t="s">
        <v>37</v>
      </c>
      <c r="E113" s="2" t="s">
        <v>26</v>
      </c>
      <c r="F113" s="2" t="n">
        <v>20</v>
      </c>
      <c r="G113" s="4" t="n">
        <v>51176.21</v>
      </c>
      <c r="H113" s="4" t="n">
        <f aca="false">F113*G113</f>
        <v>1023524.2</v>
      </c>
    </row>
    <row r="114" customFormat="false" ht="15" hidden="false" customHeight="false" outlineLevel="0" collapsed="false">
      <c r="A114" s="2" t="s">
        <v>138</v>
      </c>
      <c r="B114" s="3" t="n">
        <v>45722</v>
      </c>
      <c r="C114" s="2" t="s">
        <v>19</v>
      </c>
      <c r="D114" s="2" t="s">
        <v>25</v>
      </c>
      <c r="E114" s="2" t="s">
        <v>26</v>
      </c>
      <c r="F114" s="2" t="n">
        <v>19</v>
      </c>
      <c r="G114" s="4" t="n">
        <v>653.73</v>
      </c>
      <c r="H114" s="4" t="n">
        <f aca="false">F114*G114</f>
        <v>12420.87</v>
      </c>
    </row>
    <row r="115" customFormat="false" ht="15" hidden="false" customHeight="false" outlineLevel="0" collapsed="false">
      <c r="A115" s="2" t="s">
        <v>139</v>
      </c>
      <c r="B115" s="3" t="n">
        <v>45896</v>
      </c>
      <c r="C115" s="2" t="s">
        <v>24</v>
      </c>
      <c r="D115" s="2" t="s">
        <v>72</v>
      </c>
      <c r="E115" s="2" t="s">
        <v>22</v>
      </c>
      <c r="F115" s="2" t="n">
        <v>6</v>
      </c>
      <c r="G115" s="4" t="n">
        <v>51.06</v>
      </c>
      <c r="H115" s="4" t="n">
        <f aca="false">F115*G115</f>
        <v>306.36</v>
      </c>
    </row>
    <row r="116" customFormat="false" ht="15" hidden="false" customHeight="false" outlineLevel="0" collapsed="false">
      <c r="A116" s="2" t="s">
        <v>140</v>
      </c>
      <c r="B116" s="3" t="n">
        <v>45716</v>
      </c>
      <c r="C116" s="2" t="s">
        <v>16</v>
      </c>
      <c r="D116" s="2" t="s">
        <v>10</v>
      </c>
      <c r="E116" s="2" t="s">
        <v>11</v>
      </c>
      <c r="F116" s="2" t="n">
        <v>4</v>
      </c>
      <c r="G116" s="4" t="n">
        <v>8125.9</v>
      </c>
      <c r="H116" s="4" t="n">
        <f aca="false">F116*G116</f>
        <v>32503.6</v>
      </c>
    </row>
    <row r="117" customFormat="false" ht="15" hidden="false" customHeight="false" outlineLevel="0" collapsed="false">
      <c r="A117" s="2" t="s">
        <v>141</v>
      </c>
      <c r="B117" s="3" t="n">
        <v>45817</v>
      </c>
      <c r="C117" s="2" t="s">
        <v>19</v>
      </c>
      <c r="D117" s="2" t="s">
        <v>21</v>
      </c>
      <c r="E117" s="2" t="s">
        <v>22</v>
      </c>
      <c r="F117" s="2" t="n">
        <v>7</v>
      </c>
      <c r="G117" s="4" t="n">
        <v>137.28</v>
      </c>
      <c r="H117" s="4" t="n">
        <f aca="false">F117*G117</f>
        <v>960.96</v>
      </c>
    </row>
    <row r="118" customFormat="false" ht="15" hidden="false" customHeight="false" outlineLevel="0" collapsed="false">
      <c r="A118" s="2" t="s">
        <v>142</v>
      </c>
      <c r="B118" s="3" t="n">
        <v>45782</v>
      </c>
      <c r="C118" s="2" t="s">
        <v>9</v>
      </c>
      <c r="D118" s="2" t="s">
        <v>10</v>
      </c>
      <c r="E118" s="2" t="s">
        <v>11</v>
      </c>
      <c r="F118" s="2" t="n">
        <v>20</v>
      </c>
      <c r="G118" s="4" t="n">
        <v>8488.84</v>
      </c>
      <c r="H118" s="4" t="n">
        <f aca="false">F118*G118</f>
        <v>169776.8</v>
      </c>
    </row>
    <row r="119" customFormat="false" ht="15" hidden="false" customHeight="false" outlineLevel="0" collapsed="false">
      <c r="A119" s="2" t="s">
        <v>143</v>
      </c>
      <c r="B119" s="3" t="n">
        <v>45679</v>
      </c>
      <c r="C119" s="2" t="s">
        <v>24</v>
      </c>
      <c r="D119" s="2" t="s">
        <v>45</v>
      </c>
      <c r="E119" s="2" t="s">
        <v>11</v>
      </c>
      <c r="F119" s="2" t="n">
        <v>14</v>
      </c>
      <c r="G119" s="4" t="n">
        <v>3613.06</v>
      </c>
      <c r="H119" s="4" t="n">
        <f aca="false">F119*G119</f>
        <v>50582.84</v>
      </c>
    </row>
    <row r="120" customFormat="false" ht="15" hidden="false" customHeight="false" outlineLevel="0" collapsed="false">
      <c r="A120" s="2" t="s">
        <v>144</v>
      </c>
      <c r="B120" s="3" t="n">
        <v>45693</v>
      </c>
      <c r="C120" s="2" t="s">
        <v>24</v>
      </c>
      <c r="D120" s="2" t="s">
        <v>37</v>
      </c>
      <c r="E120" s="2" t="s">
        <v>26</v>
      </c>
      <c r="F120" s="2" t="n">
        <v>14</v>
      </c>
      <c r="G120" s="4" t="n">
        <v>58545.64</v>
      </c>
      <c r="H120" s="4" t="n">
        <f aca="false">F120*G120</f>
        <v>819638.96</v>
      </c>
    </row>
    <row r="121" customFormat="false" ht="15" hidden="false" customHeight="false" outlineLevel="0" collapsed="false">
      <c r="A121" s="2" t="s">
        <v>145</v>
      </c>
      <c r="B121" s="3" t="n">
        <v>45712</v>
      </c>
      <c r="C121" s="2" t="s">
        <v>19</v>
      </c>
      <c r="D121" s="2" t="s">
        <v>72</v>
      </c>
      <c r="E121" s="2" t="s">
        <v>22</v>
      </c>
      <c r="F121" s="2" t="n">
        <v>15</v>
      </c>
      <c r="G121" s="4" t="n">
        <v>52.07</v>
      </c>
      <c r="H121" s="4" t="n">
        <f aca="false">F121*G121</f>
        <v>781.05</v>
      </c>
    </row>
    <row r="122" customFormat="false" ht="15" hidden="false" customHeight="false" outlineLevel="0" collapsed="false">
      <c r="A122" s="2" t="s">
        <v>146</v>
      </c>
      <c r="B122" s="3" t="n">
        <v>45880</v>
      </c>
      <c r="C122" s="2" t="s">
        <v>16</v>
      </c>
      <c r="D122" s="2" t="s">
        <v>45</v>
      </c>
      <c r="E122" s="2" t="s">
        <v>11</v>
      </c>
      <c r="F122" s="2" t="n">
        <v>9</v>
      </c>
      <c r="G122" s="4" t="n">
        <v>3581.14</v>
      </c>
      <c r="H122" s="4" t="n">
        <f aca="false">F122*G122</f>
        <v>32230.26</v>
      </c>
    </row>
    <row r="123" customFormat="false" ht="15" hidden="false" customHeight="false" outlineLevel="0" collapsed="false">
      <c r="A123" s="2" t="s">
        <v>147</v>
      </c>
      <c r="B123" s="3" t="n">
        <v>45905</v>
      </c>
      <c r="C123" s="2" t="s">
        <v>19</v>
      </c>
      <c r="D123" s="2" t="s">
        <v>21</v>
      </c>
      <c r="E123" s="2" t="s">
        <v>22</v>
      </c>
      <c r="F123" s="2" t="n">
        <v>19</v>
      </c>
      <c r="G123" s="4" t="n">
        <v>143.05</v>
      </c>
      <c r="H123" s="4" t="n">
        <f aca="false">F123*G123</f>
        <v>2717.95</v>
      </c>
    </row>
    <row r="124" customFormat="false" ht="15" hidden="false" customHeight="false" outlineLevel="0" collapsed="false">
      <c r="A124" s="2" t="s">
        <v>148</v>
      </c>
      <c r="B124" s="3" t="n">
        <v>45783</v>
      </c>
      <c r="C124" s="2" t="s">
        <v>9</v>
      </c>
      <c r="D124" s="2" t="s">
        <v>10</v>
      </c>
      <c r="E124" s="2" t="s">
        <v>11</v>
      </c>
      <c r="F124" s="2" t="n">
        <v>15</v>
      </c>
      <c r="G124" s="4" t="n">
        <v>7590.18</v>
      </c>
      <c r="H124" s="4" t="n">
        <f aca="false">F124*G124</f>
        <v>113852.7</v>
      </c>
    </row>
    <row r="125" customFormat="false" ht="15" hidden="false" customHeight="false" outlineLevel="0" collapsed="false">
      <c r="A125" s="2" t="s">
        <v>149</v>
      </c>
      <c r="B125" s="3" t="n">
        <v>45895</v>
      </c>
      <c r="C125" s="2" t="s">
        <v>19</v>
      </c>
      <c r="D125" s="2" t="s">
        <v>72</v>
      </c>
      <c r="E125" s="2" t="s">
        <v>22</v>
      </c>
      <c r="F125" s="2" t="n">
        <v>1</v>
      </c>
      <c r="G125" s="4" t="n">
        <v>49.94</v>
      </c>
      <c r="H125" s="4" t="n">
        <f aca="false">F125*G125</f>
        <v>49.94</v>
      </c>
    </row>
    <row r="126" customFormat="false" ht="15" hidden="false" customHeight="false" outlineLevel="0" collapsed="false">
      <c r="A126" s="2" t="s">
        <v>150</v>
      </c>
      <c r="B126" s="3" t="n">
        <v>45824</v>
      </c>
      <c r="C126" s="2" t="s">
        <v>16</v>
      </c>
      <c r="D126" s="2" t="s">
        <v>35</v>
      </c>
      <c r="E126" s="2" t="s">
        <v>26</v>
      </c>
      <c r="F126" s="2" t="n">
        <v>7</v>
      </c>
      <c r="G126" s="4" t="n">
        <v>11651.58</v>
      </c>
      <c r="H126" s="4" t="n">
        <f aca="false">F126*G126</f>
        <v>81561.06</v>
      </c>
    </row>
    <row r="127" customFormat="false" ht="15" hidden="false" customHeight="false" outlineLevel="0" collapsed="false">
      <c r="A127" s="2" t="s">
        <v>151</v>
      </c>
      <c r="B127" s="3" t="n">
        <v>45790</v>
      </c>
      <c r="C127" s="2" t="s">
        <v>24</v>
      </c>
      <c r="D127" s="2" t="s">
        <v>10</v>
      </c>
      <c r="E127" s="2" t="s">
        <v>11</v>
      </c>
      <c r="F127" s="2" t="n">
        <v>20</v>
      </c>
      <c r="G127" s="4" t="n">
        <v>8321.89</v>
      </c>
      <c r="H127" s="4" t="n">
        <f aca="false">F127*G127</f>
        <v>166437.8</v>
      </c>
    </row>
    <row r="128" customFormat="false" ht="15" hidden="false" customHeight="false" outlineLevel="0" collapsed="false">
      <c r="A128" s="2" t="s">
        <v>152</v>
      </c>
      <c r="B128" s="3" t="n">
        <v>45799</v>
      </c>
      <c r="C128" s="2" t="s">
        <v>9</v>
      </c>
      <c r="D128" s="2" t="s">
        <v>45</v>
      </c>
      <c r="E128" s="2" t="s">
        <v>11</v>
      </c>
      <c r="F128" s="2" t="n">
        <v>7</v>
      </c>
      <c r="G128" s="4" t="n">
        <v>3209.93</v>
      </c>
      <c r="H128" s="4" t="n">
        <f aca="false">F128*G128</f>
        <v>22469.51</v>
      </c>
    </row>
    <row r="129" customFormat="false" ht="15" hidden="false" customHeight="false" outlineLevel="0" collapsed="false">
      <c r="A129" s="2" t="s">
        <v>153</v>
      </c>
      <c r="B129" s="3" t="n">
        <v>45866</v>
      </c>
      <c r="C129" s="2" t="s">
        <v>19</v>
      </c>
      <c r="D129" s="2" t="s">
        <v>45</v>
      </c>
      <c r="E129" s="2" t="s">
        <v>11</v>
      </c>
      <c r="F129" s="2" t="n">
        <v>8</v>
      </c>
      <c r="G129" s="4" t="n">
        <v>3633.43</v>
      </c>
      <c r="H129" s="4" t="n">
        <f aca="false">F129*G129</f>
        <v>29067.44</v>
      </c>
    </row>
    <row r="130" customFormat="false" ht="15" hidden="false" customHeight="false" outlineLevel="0" collapsed="false">
      <c r="A130" s="2" t="s">
        <v>154</v>
      </c>
      <c r="B130" s="3" t="n">
        <v>45909</v>
      </c>
      <c r="C130" s="2" t="s">
        <v>19</v>
      </c>
      <c r="D130" s="2" t="s">
        <v>37</v>
      </c>
      <c r="E130" s="2" t="s">
        <v>26</v>
      </c>
      <c r="F130" s="2" t="n">
        <v>3</v>
      </c>
      <c r="G130" s="4" t="n">
        <v>52736.59</v>
      </c>
      <c r="H130" s="4" t="n">
        <f aca="false">F130*G130</f>
        <v>158209.77</v>
      </c>
    </row>
    <row r="131" customFormat="false" ht="15" hidden="false" customHeight="false" outlineLevel="0" collapsed="false">
      <c r="A131" s="2" t="s">
        <v>155</v>
      </c>
      <c r="B131" s="3" t="n">
        <v>45865</v>
      </c>
      <c r="C131" s="2" t="s">
        <v>16</v>
      </c>
      <c r="D131" s="2" t="s">
        <v>10</v>
      </c>
      <c r="E131" s="2" t="s">
        <v>11</v>
      </c>
      <c r="F131" s="2" t="n">
        <v>19</v>
      </c>
      <c r="G131" s="4" t="n">
        <v>7790.43</v>
      </c>
      <c r="H131" s="4" t="n">
        <f aca="false">F131*G131</f>
        <v>148018.17</v>
      </c>
    </row>
    <row r="132" customFormat="false" ht="15" hidden="false" customHeight="false" outlineLevel="0" collapsed="false">
      <c r="A132" s="2" t="s">
        <v>156</v>
      </c>
      <c r="B132" s="3" t="n">
        <v>45834</v>
      </c>
      <c r="C132" s="2" t="s">
        <v>19</v>
      </c>
      <c r="D132" s="2" t="s">
        <v>45</v>
      </c>
      <c r="E132" s="2" t="s">
        <v>11</v>
      </c>
      <c r="F132" s="2" t="n">
        <v>11</v>
      </c>
      <c r="G132" s="4" t="n">
        <v>3396.27</v>
      </c>
      <c r="H132" s="4" t="n">
        <f aca="false">F132*G132</f>
        <v>37358.97</v>
      </c>
    </row>
    <row r="133" customFormat="false" ht="15" hidden="false" customHeight="false" outlineLevel="0" collapsed="false">
      <c r="A133" s="2" t="s">
        <v>157</v>
      </c>
      <c r="B133" s="3" t="n">
        <v>45890</v>
      </c>
      <c r="C133" s="2" t="s">
        <v>24</v>
      </c>
      <c r="D133" s="2" t="s">
        <v>10</v>
      </c>
      <c r="E133" s="2" t="s">
        <v>11</v>
      </c>
      <c r="F133" s="2" t="n">
        <v>9</v>
      </c>
      <c r="G133" s="4" t="n">
        <v>7568.86</v>
      </c>
      <c r="H133" s="4" t="n">
        <f aca="false">F133*G133</f>
        <v>68119.74</v>
      </c>
    </row>
    <row r="134" customFormat="false" ht="15" hidden="false" customHeight="false" outlineLevel="0" collapsed="false">
      <c r="A134" s="2" t="s">
        <v>158</v>
      </c>
      <c r="B134" s="3" t="n">
        <v>45756</v>
      </c>
      <c r="C134" s="2" t="s">
        <v>24</v>
      </c>
      <c r="D134" s="2" t="s">
        <v>25</v>
      </c>
      <c r="E134" s="2" t="s">
        <v>26</v>
      </c>
      <c r="F134" s="2" t="n">
        <v>18</v>
      </c>
      <c r="G134" s="4" t="n">
        <v>654.11</v>
      </c>
      <c r="H134" s="4" t="n">
        <f aca="false">F134*G134</f>
        <v>11773.98</v>
      </c>
    </row>
    <row r="135" customFormat="false" ht="15" hidden="false" customHeight="false" outlineLevel="0" collapsed="false">
      <c r="A135" s="2" t="s">
        <v>159</v>
      </c>
      <c r="B135" s="3" t="n">
        <v>45752</v>
      </c>
      <c r="C135" s="2" t="s">
        <v>16</v>
      </c>
      <c r="D135" s="2" t="s">
        <v>17</v>
      </c>
      <c r="E135" s="2" t="s">
        <v>11</v>
      </c>
      <c r="F135" s="2" t="n">
        <v>16</v>
      </c>
      <c r="G135" s="4" t="n">
        <v>4298.85</v>
      </c>
      <c r="H135" s="4" t="n">
        <f aca="false">F135*G135</f>
        <v>68781.6</v>
      </c>
    </row>
    <row r="136" customFormat="false" ht="15" hidden="false" customHeight="false" outlineLevel="0" collapsed="false">
      <c r="A136" s="2" t="s">
        <v>160</v>
      </c>
      <c r="B136" s="3" t="n">
        <v>45926</v>
      </c>
      <c r="C136" s="2" t="s">
        <v>24</v>
      </c>
      <c r="D136" s="2" t="s">
        <v>25</v>
      </c>
      <c r="E136" s="2" t="s">
        <v>26</v>
      </c>
      <c r="F136" s="2" t="n">
        <v>7</v>
      </c>
      <c r="G136" s="4" t="n">
        <v>575.55</v>
      </c>
      <c r="H136" s="4" t="n">
        <f aca="false">F136*G136</f>
        <v>4028.85</v>
      </c>
    </row>
    <row r="137" customFormat="false" ht="15" hidden="false" customHeight="false" outlineLevel="0" collapsed="false">
      <c r="A137" s="2" t="s">
        <v>161</v>
      </c>
      <c r="B137" s="3" t="n">
        <v>45842</v>
      </c>
      <c r="C137" s="2" t="s">
        <v>16</v>
      </c>
      <c r="D137" s="2" t="s">
        <v>10</v>
      </c>
      <c r="E137" s="2" t="s">
        <v>11</v>
      </c>
      <c r="F137" s="2" t="n">
        <v>1</v>
      </c>
      <c r="G137" s="4" t="n">
        <v>8332.83</v>
      </c>
      <c r="H137" s="4" t="n">
        <f aca="false">F137*G137</f>
        <v>8332.83</v>
      </c>
    </row>
    <row r="138" customFormat="false" ht="15" hidden="false" customHeight="false" outlineLevel="0" collapsed="false">
      <c r="A138" s="2" t="s">
        <v>162</v>
      </c>
      <c r="B138" s="3" t="n">
        <v>45722</v>
      </c>
      <c r="C138" s="2" t="s">
        <v>24</v>
      </c>
      <c r="D138" s="2" t="s">
        <v>37</v>
      </c>
      <c r="E138" s="2" t="s">
        <v>26</v>
      </c>
      <c r="F138" s="2" t="n">
        <v>2</v>
      </c>
      <c r="G138" s="4" t="n">
        <v>55586.95</v>
      </c>
      <c r="H138" s="4" t="n">
        <f aca="false">F138*G138</f>
        <v>111173.9</v>
      </c>
    </row>
    <row r="139" customFormat="false" ht="15" hidden="false" customHeight="false" outlineLevel="0" collapsed="false">
      <c r="A139" s="2" t="s">
        <v>163</v>
      </c>
      <c r="B139" s="3" t="n">
        <v>45722</v>
      </c>
      <c r="C139" s="2" t="s">
        <v>19</v>
      </c>
      <c r="D139" s="2" t="s">
        <v>25</v>
      </c>
      <c r="E139" s="2" t="s">
        <v>26</v>
      </c>
      <c r="F139" s="2" t="n">
        <v>1</v>
      </c>
      <c r="G139" s="4" t="n">
        <v>608.89</v>
      </c>
      <c r="H139" s="4" t="n">
        <f aca="false">F139*G139</f>
        <v>608.89</v>
      </c>
    </row>
    <row r="140" customFormat="false" ht="15" hidden="false" customHeight="false" outlineLevel="0" collapsed="false">
      <c r="A140" s="2" t="s">
        <v>164</v>
      </c>
      <c r="B140" s="3" t="n">
        <v>45898</v>
      </c>
      <c r="C140" s="2" t="s">
        <v>19</v>
      </c>
      <c r="D140" s="2" t="s">
        <v>35</v>
      </c>
      <c r="E140" s="2" t="s">
        <v>26</v>
      </c>
      <c r="F140" s="2" t="n">
        <v>11</v>
      </c>
      <c r="G140" s="4" t="n">
        <v>11242.47</v>
      </c>
      <c r="H140" s="4" t="n">
        <f aca="false">F140*G140</f>
        <v>123667.17</v>
      </c>
    </row>
    <row r="141" customFormat="false" ht="15" hidden="false" customHeight="false" outlineLevel="0" collapsed="false">
      <c r="A141" s="2" t="s">
        <v>165</v>
      </c>
      <c r="B141" s="3" t="n">
        <v>45684</v>
      </c>
      <c r="C141" s="2" t="s">
        <v>24</v>
      </c>
      <c r="D141" s="2" t="s">
        <v>35</v>
      </c>
      <c r="E141" s="2" t="s">
        <v>26</v>
      </c>
      <c r="F141" s="2" t="n">
        <v>4</v>
      </c>
      <c r="G141" s="4" t="n">
        <v>12773.08</v>
      </c>
      <c r="H141" s="4" t="n">
        <f aca="false">F141*G141</f>
        <v>51092.32</v>
      </c>
    </row>
    <row r="142" customFormat="false" ht="15" hidden="false" customHeight="false" outlineLevel="0" collapsed="false">
      <c r="A142" s="2" t="s">
        <v>166</v>
      </c>
      <c r="B142" s="3" t="n">
        <v>45863</v>
      </c>
      <c r="C142" s="2" t="s">
        <v>19</v>
      </c>
      <c r="D142" s="2" t="s">
        <v>25</v>
      </c>
      <c r="E142" s="2" t="s">
        <v>26</v>
      </c>
      <c r="F142" s="2" t="n">
        <v>19</v>
      </c>
      <c r="G142" s="4" t="n">
        <v>615.53</v>
      </c>
      <c r="H142" s="4" t="n">
        <f aca="false">F142*G142</f>
        <v>11695.07</v>
      </c>
    </row>
    <row r="143" customFormat="false" ht="15" hidden="false" customHeight="false" outlineLevel="0" collapsed="false">
      <c r="A143" s="2" t="s">
        <v>167</v>
      </c>
      <c r="B143" s="3" t="n">
        <v>45685</v>
      </c>
      <c r="C143" s="2" t="s">
        <v>16</v>
      </c>
      <c r="D143" s="2" t="s">
        <v>32</v>
      </c>
      <c r="E143" s="2" t="s">
        <v>26</v>
      </c>
      <c r="F143" s="2" t="n">
        <v>19</v>
      </c>
      <c r="G143" s="4" t="n">
        <v>1307.79</v>
      </c>
      <c r="H143" s="4" t="n">
        <f aca="false">F143*G143</f>
        <v>24848.01</v>
      </c>
    </row>
    <row r="144" customFormat="false" ht="15" hidden="false" customHeight="false" outlineLevel="0" collapsed="false">
      <c r="A144" s="2" t="s">
        <v>168</v>
      </c>
      <c r="B144" s="3" t="n">
        <v>45701</v>
      </c>
      <c r="C144" s="2" t="s">
        <v>16</v>
      </c>
      <c r="D144" s="2" t="s">
        <v>25</v>
      </c>
      <c r="E144" s="2" t="s">
        <v>26</v>
      </c>
      <c r="F144" s="2" t="n">
        <v>18</v>
      </c>
      <c r="G144" s="4" t="n">
        <v>631.73</v>
      </c>
      <c r="H144" s="4" t="n">
        <f aca="false">F144*G144</f>
        <v>11371.14</v>
      </c>
    </row>
    <row r="145" customFormat="false" ht="15" hidden="false" customHeight="false" outlineLevel="0" collapsed="false">
      <c r="A145" s="2" t="s">
        <v>169</v>
      </c>
      <c r="B145" s="3" t="n">
        <v>45773</v>
      </c>
      <c r="C145" s="2" t="s">
        <v>19</v>
      </c>
      <c r="D145" s="2" t="s">
        <v>35</v>
      </c>
      <c r="E145" s="2" t="s">
        <v>26</v>
      </c>
      <c r="F145" s="2" t="n">
        <v>15</v>
      </c>
      <c r="G145" s="4" t="n">
        <v>11513.65</v>
      </c>
      <c r="H145" s="4" t="n">
        <f aca="false">F145*G145</f>
        <v>172704.75</v>
      </c>
    </row>
    <row r="146" customFormat="false" ht="15" hidden="false" customHeight="false" outlineLevel="0" collapsed="false">
      <c r="A146" s="2" t="s">
        <v>170</v>
      </c>
      <c r="B146" s="3" t="n">
        <v>45877</v>
      </c>
      <c r="C146" s="2" t="s">
        <v>24</v>
      </c>
      <c r="D146" s="2" t="s">
        <v>13</v>
      </c>
      <c r="E146" s="2" t="s">
        <v>14</v>
      </c>
      <c r="F146" s="2" t="n">
        <v>20</v>
      </c>
      <c r="G146" s="4" t="n">
        <v>1641.68</v>
      </c>
      <c r="H146" s="4" t="n">
        <f aca="false">F146*G146</f>
        <v>32833.6</v>
      </c>
    </row>
    <row r="147" customFormat="false" ht="15" hidden="false" customHeight="false" outlineLevel="0" collapsed="false">
      <c r="A147" s="2" t="s">
        <v>171</v>
      </c>
      <c r="B147" s="3" t="n">
        <v>45708</v>
      </c>
      <c r="C147" s="2" t="s">
        <v>16</v>
      </c>
      <c r="D147" s="2" t="s">
        <v>17</v>
      </c>
      <c r="E147" s="2" t="s">
        <v>11</v>
      </c>
      <c r="F147" s="2" t="n">
        <v>9</v>
      </c>
      <c r="G147" s="4" t="n">
        <v>4644.39</v>
      </c>
      <c r="H147" s="4" t="n">
        <f aca="false">F147*G147</f>
        <v>41799.51</v>
      </c>
    </row>
    <row r="148" customFormat="false" ht="15" hidden="false" customHeight="false" outlineLevel="0" collapsed="false">
      <c r="A148" s="2" t="s">
        <v>172</v>
      </c>
      <c r="B148" s="3" t="n">
        <v>45738</v>
      </c>
      <c r="C148" s="2" t="s">
        <v>16</v>
      </c>
      <c r="D148" s="2" t="s">
        <v>32</v>
      </c>
      <c r="E148" s="2" t="s">
        <v>26</v>
      </c>
      <c r="F148" s="2" t="n">
        <v>18</v>
      </c>
      <c r="G148" s="4" t="n">
        <v>1098.02</v>
      </c>
      <c r="H148" s="4" t="n">
        <f aca="false">F148*G148</f>
        <v>19764.36</v>
      </c>
    </row>
    <row r="149" customFormat="false" ht="15" hidden="false" customHeight="false" outlineLevel="0" collapsed="false">
      <c r="A149" s="2" t="s">
        <v>173</v>
      </c>
      <c r="B149" s="3" t="n">
        <v>45659</v>
      </c>
      <c r="C149" s="2" t="s">
        <v>19</v>
      </c>
      <c r="D149" s="2" t="s">
        <v>35</v>
      </c>
      <c r="E149" s="2" t="s">
        <v>26</v>
      </c>
      <c r="F149" s="2" t="n">
        <v>20</v>
      </c>
      <c r="G149" s="4" t="n">
        <v>11927.79</v>
      </c>
      <c r="H149" s="4" t="n">
        <f aca="false">F149*G149</f>
        <v>238555.8</v>
      </c>
    </row>
    <row r="150" customFormat="false" ht="15" hidden="false" customHeight="false" outlineLevel="0" collapsed="false">
      <c r="A150" s="2" t="s">
        <v>174</v>
      </c>
      <c r="B150" s="3" t="n">
        <v>45674</v>
      </c>
      <c r="C150" s="2" t="s">
        <v>16</v>
      </c>
      <c r="D150" s="2" t="s">
        <v>10</v>
      </c>
      <c r="E150" s="2" t="s">
        <v>11</v>
      </c>
      <c r="F150" s="2" t="n">
        <v>10</v>
      </c>
      <c r="G150" s="4" t="n">
        <v>8324.78</v>
      </c>
      <c r="H150" s="4" t="n">
        <f aca="false">F150*G150</f>
        <v>83247.8</v>
      </c>
    </row>
    <row r="151" customFormat="false" ht="15" hidden="false" customHeight="false" outlineLevel="0" collapsed="false">
      <c r="A151" s="2" t="s">
        <v>175</v>
      </c>
      <c r="B151" s="3" t="n">
        <v>45890</v>
      </c>
      <c r="C151" s="2" t="s">
        <v>9</v>
      </c>
      <c r="D151" s="2" t="s">
        <v>17</v>
      </c>
      <c r="E151" s="2" t="s">
        <v>11</v>
      </c>
      <c r="F151" s="2" t="n">
        <v>9</v>
      </c>
      <c r="G151" s="4" t="n">
        <v>4759.05</v>
      </c>
      <c r="H151" s="4" t="n">
        <f aca="false">F151*G151</f>
        <v>42831.45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4"/>
  </cols>
  <sheetData>
    <row r="1" customFormat="false" ht="19.7" hidden="false" customHeight="false" outlineLevel="0" collapsed="false">
      <c r="A1" s="5" t="s">
        <v>176</v>
      </c>
      <c r="B1" s="5"/>
      <c r="C1" s="5"/>
      <c r="D1" s="5"/>
    </row>
    <row r="2" customFormat="false" ht="15" hidden="false" customHeight="false" outlineLevel="0" collapsed="false">
      <c r="A2" s="6" t="s">
        <v>177</v>
      </c>
      <c r="B2" s="6"/>
      <c r="C2" s="6"/>
      <c r="D2" s="6"/>
    </row>
    <row r="4" customFormat="false" ht="15" hidden="false" customHeight="false" outlineLevel="0" collapsed="false">
      <c r="A4" s="7" t="s">
        <v>178</v>
      </c>
    </row>
    <row r="5" customFormat="false" ht="15" hidden="false" customHeight="false" outlineLevel="0" collapsed="false">
      <c r="A5" s="8" t="s">
        <v>2</v>
      </c>
      <c r="B5" s="8" t="s">
        <v>179</v>
      </c>
      <c r="C5" s="8" t="s">
        <v>180</v>
      </c>
      <c r="D5" s="8" t="s">
        <v>181</v>
      </c>
    </row>
    <row r="6" customFormat="false" ht="15" hidden="false" customHeight="false" outlineLevel="0" collapsed="false">
      <c r="A6" s="2" t="s">
        <v>9</v>
      </c>
      <c r="B6" s="4" t="n">
        <f aca="false">SUMIFS('Raw Data'!H2:H151,'Raw Data'!C2:C151,A6)</f>
        <v>1599556.95</v>
      </c>
      <c r="C6" s="2" t="n">
        <f aca="false">SUMIFS('Raw Data'!F2:F151,'Raw Data'!C2:C151,A6)</f>
        <v>333</v>
      </c>
      <c r="D6" s="2" t="n">
        <f aca="false">COUNTIF('Raw Data'!C2:C151,A6)</f>
        <v>32</v>
      </c>
    </row>
    <row r="7" customFormat="false" ht="15" hidden="false" customHeight="false" outlineLevel="0" collapsed="false">
      <c r="A7" s="2" t="s">
        <v>16</v>
      </c>
      <c r="B7" s="4" t="n">
        <f aca="false">SUMIFS('Raw Data'!H2:H151,'Raw Data'!C2:C151,A7)</f>
        <v>5702022.79</v>
      </c>
      <c r="C7" s="2" t="n">
        <f aca="false">SUMIFS('Raw Data'!F2:F151,'Raw Data'!C2:C151,A7)</f>
        <v>466</v>
      </c>
      <c r="D7" s="2" t="n">
        <f aca="false">COUNTIF('Raw Data'!C2:C151,A7)</f>
        <v>42</v>
      </c>
    </row>
    <row r="8" customFormat="false" ht="15" hidden="false" customHeight="false" outlineLevel="0" collapsed="false">
      <c r="A8" s="2" t="s">
        <v>24</v>
      </c>
      <c r="B8" s="4" t="n">
        <f aca="false">SUMIFS('Raw Data'!H2:H151,'Raw Data'!C2:C151,A8)</f>
        <v>3126806.92</v>
      </c>
      <c r="C8" s="2" t="n">
        <f aca="false">SUMIFS('Raw Data'!F2:F151,'Raw Data'!C2:C151,A8)</f>
        <v>322</v>
      </c>
      <c r="D8" s="2" t="n">
        <f aca="false">COUNTIF('Raw Data'!C2:C151,A8)</f>
        <v>31</v>
      </c>
    </row>
    <row r="9" customFormat="false" ht="15" hidden="false" customHeight="false" outlineLevel="0" collapsed="false">
      <c r="A9" s="2" t="s">
        <v>19</v>
      </c>
      <c r="B9" s="4" t="n">
        <f aca="false">SUMIFS('Raw Data'!H2:H151,'Raw Data'!C2:C151,A9)</f>
        <v>3859715.59</v>
      </c>
      <c r="C9" s="2" t="n">
        <f aca="false">SUMIFS('Raw Data'!F2:F151,'Raw Data'!C2:C151,A9)</f>
        <v>500</v>
      </c>
      <c r="D9" s="2" t="n">
        <f aca="false">COUNTIF('Raw Data'!C2:C151,A9)</f>
        <v>45</v>
      </c>
    </row>
    <row r="12" customFormat="false" ht="15" hidden="false" customHeight="false" outlineLevel="0" collapsed="false">
      <c r="A12" s="7" t="s">
        <v>182</v>
      </c>
    </row>
    <row r="13" customFormat="false" ht="15" hidden="false" customHeight="false" outlineLevel="0" collapsed="false">
      <c r="A13" s="8" t="s">
        <v>4</v>
      </c>
      <c r="B13" s="8" t="s">
        <v>179</v>
      </c>
      <c r="C13" s="8" t="s">
        <v>180</v>
      </c>
      <c r="D13" s="8" t="s">
        <v>181</v>
      </c>
    </row>
    <row r="14" customFormat="false" ht="15" hidden="false" customHeight="false" outlineLevel="0" collapsed="false">
      <c r="A14" s="2" t="s">
        <v>14</v>
      </c>
      <c r="B14" s="4" t="n">
        <f aca="false">SUMIFS('Raw Data'!H2:H151,'Raw Data'!E2:E151,A14)</f>
        <v>246700.38</v>
      </c>
      <c r="C14" s="2" t="n">
        <f aca="false">SUMIFS('Raw Data'!F2:F151,'Raw Data'!E2:E151,A14)</f>
        <v>142</v>
      </c>
      <c r="D14" s="2" t="n">
        <f aca="false">COUNTIF('Raw Data'!E2:E151,A14)</f>
        <v>11</v>
      </c>
    </row>
    <row r="15" customFormat="false" ht="15" hidden="false" customHeight="false" outlineLevel="0" collapsed="false">
      <c r="A15" s="2" t="s">
        <v>26</v>
      </c>
      <c r="B15" s="4" t="n">
        <f aca="false">SUMIFS('Raw Data'!H2:H151,'Raw Data'!E2:E151,A15)</f>
        <v>10826431.03</v>
      </c>
      <c r="C15" s="2" t="n">
        <f aca="false">SUMIFS('Raw Data'!F2:F151,'Raw Data'!E2:E151,A15)</f>
        <v>662</v>
      </c>
      <c r="D15" s="2" t="n">
        <f aca="false">COUNTIF('Raw Data'!E2:E151,A15)</f>
        <v>61</v>
      </c>
    </row>
    <row r="16" customFormat="false" ht="15" hidden="false" customHeight="false" outlineLevel="0" collapsed="false">
      <c r="A16" s="2" t="s">
        <v>11</v>
      </c>
      <c r="B16" s="4" t="n">
        <f aca="false">SUMIFS('Raw Data'!H2:H151,'Raw Data'!E2:E151,A16)</f>
        <v>3185910.96</v>
      </c>
      <c r="C16" s="2" t="n">
        <f aca="false">SUMIFS('Raw Data'!F2:F151,'Raw Data'!E2:E151,A16)</f>
        <v>572</v>
      </c>
      <c r="D16" s="2" t="n">
        <f aca="false">COUNTIF('Raw Data'!E2:E151,A16)</f>
        <v>54</v>
      </c>
    </row>
    <row r="17" customFormat="false" ht="15" hidden="false" customHeight="false" outlineLevel="0" collapsed="false">
      <c r="A17" s="2" t="s">
        <v>22</v>
      </c>
      <c r="B17" s="4" t="n">
        <f aca="false">SUMIFS('Raw Data'!H2:H151,'Raw Data'!E2:E151,A17)</f>
        <v>29059.88</v>
      </c>
      <c r="C17" s="2" t="n">
        <f aca="false">SUMIFS('Raw Data'!F2:F151,'Raw Data'!E2:E151,A17)</f>
        <v>245</v>
      </c>
      <c r="D17" s="2" t="n">
        <f aca="false">COUNTIF('Raw Data'!E2:E151,A17)</f>
        <v>24</v>
      </c>
    </row>
    <row r="20" customFormat="false" ht="15" hidden="false" customHeight="false" outlineLevel="0" collapsed="false">
      <c r="A20" s="7" t="s">
        <v>183</v>
      </c>
    </row>
    <row r="21" customFormat="false" ht="15" hidden="false" customHeight="false" outlineLevel="0" collapsed="false">
      <c r="A21" s="2" t="s">
        <v>179</v>
      </c>
      <c r="B21" s="9" t="n">
        <f aca="false">SUM('Raw Data'!H2:H151)</f>
        <v>14288102.25</v>
      </c>
    </row>
    <row r="22" customFormat="false" ht="15" hidden="false" customHeight="false" outlineLevel="0" collapsed="false">
      <c r="A22" s="2" t="s">
        <v>184</v>
      </c>
      <c r="B22" s="10" t="n">
        <f aca="false">SUM('Raw Data'!F2:F151)</f>
        <v>1621</v>
      </c>
    </row>
    <row r="23" customFormat="false" ht="15" hidden="false" customHeight="false" outlineLevel="0" collapsed="false">
      <c r="A23" s="2" t="s">
        <v>185</v>
      </c>
      <c r="B23" s="10" t="n">
        <f aca="false">COUNTA('Raw Data'!A2:A151)</f>
        <v>150</v>
      </c>
    </row>
    <row r="24" customFormat="false" ht="15" hidden="false" customHeight="false" outlineLevel="0" collapsed="false">
      <c r="A24" s="2" t="s">
        <v>186</v>
      </c>
      <c r="B24" s="9" t="n">
        <f aca="false">B21/B23</f>
        <v>95254.015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6" style="0" width="20"/>
    <col collapsed="false" customWidth="true" hidden="false" outlineLevel="0" max="7" min="7" style="0" width="4"/>
  </cols>
  <sheetData>
    <row r="1" customFormat="false" ht="19.7" hidden="false" customHeight="false" outlineLevel="0" collapsed="false">
      <c r="A1" s="5" t="s">
        <v>187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6" t="s">
        <v>188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F4" s="11" t="s">
        <v>179</v>
      </c>
    </row>
    <row r="5" customFormat="false" ht="17.35" hidden="false" customHeight="false" outlineLevel="0" collapsed="false">
      <c r="F5" s="12" t="n">
        <f aca="false">Summary!B21</f>
        <v>14288102.25</v>
      </c>
    </row>
    <row r="8" customFormat="false" ht="15" hidden="false" customHeight="false" outlineLevel="0" collapsed="false">
      <c r="F8" s="11" t="s">
        <v>184</v>
      </c>
    </row>
    <row r="9" customFormat="false" ht="17.35" hidden="false" customHeight="false" outlineLevel="0" collapsed="false">
      <c r="F9" s="13" t="n">
        <f aca="false">Summary!B22</f>
        <v>1621</v>
      </c>
    </row>
    <row r="12" customFormat="false" ht="15" hidden="false" customHeight="false" outlineLevel="0" collapsed="false">
      <c r="F12" s="11" t="s">
        <v>185</v>
      </c>
    </row>
    <row r="13" customFormat="false" ht="17.35" hidden="false" customHeight="false" outlineLevel="0" collapsed="false">
      <c r="F13" s="13" t="n">
        <f aca="false">Summary!B23</f>
        <v>150</v>
      </c>
    </row>
    <row r="16" customFormat="false" ht="15" hidden="false" customHeight="false" outlineLevel="0" collapsed="false">
      <c r="F16" s="11" t="s">
        <v>189</v>
      </c>
    </row>
    <row r="17" customFormat="false" ht="17.35" hidden="false" customHeight="false" outlineLevel="0" collapsed="false">
      <c r="F17" s="12" t="n">
        <f aca="false">Summary!B24</f>
        <v>95254.015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2026-09-21T11:27:09Z</dcterms:created>
  <dc:creator>openpyxl</dc:creator>
  <dc:description/>
  <dc:language>en-US</dc:language>
  <cp:lastModifiedBy/>
  <dcterms:modified xsi:type="dcterms:W3CDTF">2026-09-21T11:27:14Z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